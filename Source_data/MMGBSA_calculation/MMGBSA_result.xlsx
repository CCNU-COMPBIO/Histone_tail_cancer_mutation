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830" windowHeight="17895" activeTab="3"/>
  </bookViews>
  <sheets>
    <sheet name="H3" sheetId="1" r:id="rId1"/>
    <sheet name="H4" sheetId="2" r:id="rId2"/>
    <sheet name="H2A" sheetId="3" r:id="rId3"/>
    <sheet name="H2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<sst xmlns="http://schemas.openxmlformats.org/spreadsheetml/2006/main" count="169" uniqueCount="125">
  <si>
    <t>Residue sequence</t>
  </si>
  <si>
    <t>H3K27M_run1_Chain1</t>
  </si>
  <si>
    <t>H3K27M_run1_Chain2</t>
  </si>
  <si>
    <t>H3K27M_run2_Chain1</t>
  </si>
  <si>
    <t>H3K27M_run2_Chain2</t>
  </si>
  <si>
    <t>H3K27M_run3_Chain1</t>
  </si>
  <si>
    <t>H3K27M_run3_Chain2</t>
  </si>
  <si>
    <t>Average</t>
  </si>
  <si>
    <t>H3K36M_run1_Chain1</t>
  </si>
  <si>
    <t>H3K36M_run1_Chain2</t>
  </si>
  <si>
    <t>H3K36M_run2_Chain1</t>
  </si>
  <si>
    <t>H3K36M_run2_Chain2</t>
  </si>
  <si>
    <t>H3K36M_run3_Chain1</t>
  </si>
  <si>
    <t>H3K36M_run3_Chain2</t>
  </si>
  <si>
    <t>H3R26C_run1_Chain1</t>
  </si>
  <si>
    <t>H3R26C_run1_Chain2</t>
  </si>
  <si>
    <t>H3R26C_run2_Chain1</t>
  </si>
  <si>
    <t>H3R26C_run2_Chain2</t>
  </si>
  <si>
    <t>H3R26C_run3_Chain1</t>
  </si>
  <si>
    <t>H3R26C_run3_Chain2</t>
  </si>
  <si>
    <t>WT_run1_Chain1</t>
  </si>
  <si>
    <t>WT_run1_Chain2</t>
  </si>
  <si>
    <t>WT_run2_Chain1</t>
  </si>
  <si>
    <t>WT_run2_Chain2</t>
  </si>
  <si>
    <t>WT_run3_Chain1</t>
  </si>
  <si>
    <t>WT_run3_Chain2</t>
  </si>
  <si>
    <t>A1</t>
  </si>
  <si>
    <t>R2</t>
  </si>
  <si>
    <t>T3</t>
  </si>
  <si>
    <t>K4</t>
  </si>
  <si>
    <t>Q5</t>
  </si>
  <si>
    <t>T6</t>
  </si>
  <si>
    <t>A7</t>
  </si>
  <si>
    <t>R8</t>
  </si>
  <si>
    <t>K9</t>
  </si>
  <si>
    <t>S10</t>
  </si>
  <si>
    <t>T11</t>
  </si>
  <si>
    <t>G12</t>
  </si>
  <si>
    <t>G13</t>
  </si>
  <si>
    <t>K14</t>
  </si>
  <si>
    <t>A15</t>
  </si>
  <si>
    <t>P16</t>
  </si>
  <si>
    <t>R17</t>
  </si>
  <si>
    <t>K18</t>
  </si>
  <si>
    <t>Q19</t>
  </si>
  <si>
    <t>L20</t>
  </si>
  <si>
    <t>A21</t>
  </si>
  <si>
    <t>T22</t>
  </si>
  <si>
    <t>K23</t>
  </si>
  <si>
    <t>A24</t>
  </si>
  <si>
    <t>A25</t>
  </si>
  <si>
    <t>R26</t>
  </si>
  <si>
    <t>K27</t>
  </si>
  <si>
    <t>S28</t>
  </si>
  <si>
    <t>A29</t>
  </si>
  <si>
    <t>P30</t>
  </si>
  <si>
    <t>A31</t>
  </si>
  <si>
    <t>T32</t>
  </si>
  <si>
    <t>G33</t>
  </si>
  <si>
    <t>G34</t>
  </si>
  <si>
    <t>V35</t>
  </si>
  <si>
    <t>K36</t>
  </si>
  <si>
    <t>SUM</t>
  </si>
  <si>
    <t>H4G4D_run1_Chain1</t>
  </si>
  <si>
    <t>H4G4D_run1_Chain2</t>
  </si>
  <si>
    <t>H4G4D_run2_Chain1</t>
  </si>
  <si>
    <t>H4G4D_run2_Chain2</t>
  </si>
  <si>
    <t>H4G4D_run3_Chain1</t>
  </si>
  <si>
    <t>H4G4D_run3_Chain2</t>
  </si>
  <si>
    <t>S1</t>
  </si>
  <si>
    <t>G2</t>
  </si>
  <si>
    <t>R3</t>
  </si>
  <si>
    <t>G4</t>
  </si>
  <si>
    <t>K5</t>
  </si>
  <si>
    <t>G6</t>
  </si>
  <si>
    <t>G7</t>
  </si>
  <si>
    <t>K8</t>
  </si>
  <si>
    <t>G9</t>
  </si>
  <si>
    <t>L10</t>
  </si>
  <si>
    <t>G11</t>
  </si>
  <si>
    <t>K12</t>
  </si>
  <si>
    <t>G14</t>
  </si>
  <si>
    <t>K16</t>
  </si>
  <si>
    <t>H18</t>
  </si>
  <si>
    <t>R19</t>
  </si>
  <si>
    <t>K20</t>
  </si>
  <si>
    <t>H2AE121K_run1_Chain1</t>
  </si>
  <si>
    <t>H2AE121K_run1_Chain2</t>
  </si>
  <si>
    <t>H2AE121K_run2_Chain1</t>
  </si>
  <si>
    <t>H2AE121K_run2_Chain2</t>
  </si>
  <si>
    <t>H2AE121K_run3_Chain1</t>
  </si>
  <si>
    <t>H2AE121K_run3_Chain2</t>
  </si>
  <si>
    <t>K119</t>
  </si>
  <si>
    <t>T120</t>
  </si>
  <si>
    <t>E121</t>
  </si>
  <si>
    <t>S122</t>
  </si>
  <si>
    <t>H123</t>
  </si>
  <si>
    <t>H124</t>
  </si>
  <si>
    <t>K125</t>
  </si>
  <si>
    <t>A126</t>
  </si>
  <si>
    <t>K127</t>
  </si>
  <si>
    <t>G128</t>
  </si>
  <si>
    <t>K129</t>
  </si>
  <si>
    <t>H2BE2K_run1_Chain1</t>
  </si>
  <si>
    <t>H2BE2K_run1_Chain2</t>
  </si>
  <si>
    <t>H2BE2K_run2_Chain1</t>
  </si>
  <si>
    <t>H2BE2K_run2_Chain2</t>
  </si>
  <si>
    <t>H2BE2K_run3_Chain1</t>
  </si>
  <si>
    <t>H2BE2K_run3_Chain2</t>
  </si>
  <si>
    <t>P1</t>
  </si>
  <si>
    <t>E2</t>
  </si>
  <si>
    <t>P3</t>
  </si>
  <si>
    <t>A4</t>
  </si>
  <si>
    <t>S6</t>
  </si>
  <si>
    <t>P8</t>
  </si>
  <si>
    <t>A9</t>
  </si>
  <si>
    <t>P10</t>
  </si>
  <si>
    <t>K11</t>
  </si>
  <si>
    <t>S14</t>
  </si>
  <si>
    <t>K15</t>
  </si>
  <si>
    <t>A17</t>
  </si>
  <si>
    <t>V18</t>
  </si>
  <si>
    <t>T19</t>
  </si>
  <si>
    <t>Q22</t>
  </si>
  <si>
    <t>K24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</si>
</sst>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Fill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76" fontId="0" fillId="0" borderId="0" xfId="0" applyNumberFormat="1" applyFill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8"/>
  <sheetViews>
    <sheetView zoomScale="70" zoomScaleNormal="70" workbookViewId="0">
      <selection activeCell="G58" sqref="G58"/>
    </sheetView>
  </sheetViews>
  <sheetFormatPr defaultColWidth="9" defaultRowHeight="18"/>
  <cols>
    <col min="1" max="1" width="19.5" style="16" customWidth="1"/>
    <col min="2" max="2" width="24.375" style="16" customWidth="1"/>
    <col min="3" max="4" width="24.625" style="16" customWidth="1"/>
    <col min="5" max="5" width="24.875" style="16" customWidth="1"/>
    <col min="6" max="6" width="24.625" style="16" customWidth="1"/>
    <col min="7" max="7" width="24.875" style="16" customWidth="1"/>
    <col min="8" max="8" width="13.75" style="16" customWidth="1"/>
    <col min="9" max="9" width="13.75" style="16"/>
    <col min="10" max="10" width="9" style="16"/>
    <col min="11" max="11" width="24.375" style="16" customWidth="1"/>
    <col min="12" max="13" width="24.625" style="16" customWidth="1"/>
    <col min="14" max="14" width="24.875" style="16" customWidth="1"/>
    <col min="15" max="15" width="24.625" style="16" customWidth="1"/>
    <col min="16" max="16" width="24.875" style="16" customWidth="1"/>
    <col min="17" max="17" width="13.75" style="16" customWidth="1"/>
    <col min="18" max="18" width="13.75" style="16"/>
    <col min="19" max="19" width="9" style="16"/>
    <col min="20" max="20" width="23.625" style="16" customWidth="1"/>
    <col min="21" max="22" width="23.875" style="16" customWidth="1"/>
    <col min="23" max="23" width="24.125" style="16" customWidth="1"/>
    <col min="24" max="24" width="23.875" style="16" customWidth="1"/>
    <col min="25" max="25" width="24.125" style="16" customWidth="1"/>
    <col min="26" max="26" width="13.75" style="16" customWidth="1"/>
    <col min="27" max="27" width="13.75" style="16"/>
    <col min="28" max="28" width="9" style="16"/>
    <col min="29" max="29" width="18.625" style="16" customWidth="1"/>
    <col min="30" max="31" width="18.875" style="16" customWidth="1"/>
    <col min="32" max="32" width="19.125" style="16" customWidth="1"/>
    <col min="33" max="33" width="18.875" style="16" customWidth="1"/>
    <col min="34" max="34" width="19.125" style="16" customWidth="1"/>
    <col min="35" max="35" width="13.75" style="16" customWidth="1"/>
    <col min="36" max="16384" width="9" style="16"/>
  </cols>
  <sheetData>
    <row r="1" s="15" customFormat="1" spans="1: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/>
      <c r="J1" s="17"/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7</v>
      </c>
      <c r="R1" s="17"/>
      <c r="S1" s="17"/>
      <c r="T1" s="17" t="s">
        <v>14</v>
      </c>
      <c r="U1" s="17" t="s">
        <v>15</v>
      </c>
      <c r="V1" s="17" t="s">
        <v>16</v>
      </c>
      <c r="W1" s="17" t="s">
        <v>17</v>
      </c>
      <c r="X1" s="17" t="s">
        <v>18</v>
      </c>
      <c r="Y1" s="17" t="s">
        <v>19</v>
      </c>
      <c r="Z1" s="17" t="s">
        <v>7</v>
      </c>
      <c r="AA1" s="17"/>
      <c r="AB1" s="17"/>
      <c r="AC1" s="17" t="s">
        <v>20</v>
      </c>
      <c r="AD1" s="17" t="s">
        <v>21</v>
      </c>
      <c r="AE1" s="17" t="s">
        <v>22</v>
      </c>
      <c r="AF1" s="17" t="s">
        <v>23</v>
      </c>
      <c r="AG1" s="17" t="s">
        <v>24</v>
      </c>
      <c r="AH1" s="17" t="s">
        <v>25</v>
      </c>
      <c r="AI1" s="17" t="s">
        <v>7</v>
      </c>
    </row>
    <row r="2" spans="1:35">
      <c r="A2" s="18" t="s">
        <v>26</v>
      </c>
      <c r="B2" s="16">
        <v>-0.192352857142856</v>
      </c>
      <c r="C2" s="16">
        <v>-1.27572532198371</v>
      </c>
      <c r="D2" s="16">
        <v>-1.5162355332829</v>
      </c>
      <c r="E2" s="16">
        <v>1.2020779311649</v>
      </c>
      <c r="F2" s="16">
        <v>-1.7596314389313</v>
      </c>
      <c r="G2" s="16">
        <v>-0.420462274809162</v>
      </c>
      <c r="H2" s="16">
        <f t="shared" ref="H2:H28" si="0">AVERAGE(B2:G2)</f>
        <v>-0.660388249164172</v>
      </c>
      <c r="K2" s="16">
        <v>-1.01208120740741</v>
      </c>
      <c r="L2" s="16">
        <v>0.283058670370374</v>
      </c>
      <c r="M2" s="16">
        <v>0.355105240458016</v>
      </c>
      <c r="N2" s="16">
        <v>7.26626182442748</v>
      </c>
      <c r="O2" s="16">
        <v>-0.96326475</v>
      </c>
      <c r="P2" s="16">
        <v>-0.980688488636363</v>
      </c>
      <c r="Q2" s="16">
        <f t="shared" ref="Q2:Q38" si="1">AVERAGE(K2:P2)</f>
        <v>0.82473188153535</v>
      </c>
      <c r="T2" s="16">
        <v>4.01042949032738</v>
      </c>
      <c r="U2" s="16">
        <v>-0.0295677455357154</v>
      </c>
      <c r="V2" s="16">
        <v>-2.01921931216931</v>
      </c>
      <c r="W2" s="16">
        <v>0.399307509448222</v>
      </c>
      <c r="X2" s="16">
        <v>-2.19139226761619</v>
      </c>
      <c r="Y2" s="16">
        <v>0.586330873313344</v>
      </c>
      <c r="Z2" s="16">
        <f t="shared" ref="Z2:Z27" si="2">AVERAGE(T2:Y2)</f>
        <v>0.125981424627954</v>
      </c>
      <c r="AC2" s="16">
        <v>7.48502468509984</v>
      </c>
      <c r="AD2" s="16">
        <v>-0.112278114439323</v>
      </c>
      <c r="AE2" s="16">
        <v>-1.17188584101383</v>
      </c>
      <c r="AF2" s="16">
        <v>-3.21940588325653</v>
      </c>
      <c r="AG2" s="16">
        <v>0.399600599999999</v>
      </c>
      <c r="AH2" s="16">
        <v>0.163999849056603</v>
      </c>
      <c r="AI2" s="16">
        <f>AVERAGE(AC2:AH2)</f>
        <v>0.590842549241127</v>
      </c>
    </row>
    <row r="3" spans="1:35">
      <c r="A3" s="18" t="s">
        <v>27</v>
      </c>
      <c r="B3" s="16">
        <v>-7.31754890821614</v>
      </c>
      <c r="C3" s="16">
        <v>-4.55351971132494</v>
      </c>
      <c r="D3" s="16">
        <v>-7.72505609304084</v>
      </c>
      <c r="E3" s="16">
        <v>-2.50495753025718</v>
      </c>
      <c r="F3" s="16">
        <v>-6.95087791221374</v>
      </c>
      <c r="G3" s="16">
        <v>-1.28853121374046</v>
      </c>
      <c r="H3" s="16">
        <f t="shared" si="0"/>
        <v>-5.05674856146555</v>
      </c>
      <c r="K3" s="16">
        <v>-5.77311578518518</v>
      </c>
      <c r="L3" s="16">
        <v>-4.2207072</v>
      </c>
      <c r="M3" s="16">
        <v>-7.36552419083969</v>
      </c>
      <c r="N3" s="16">
        <v>-5.45672641603054</v>
      </c>
      <c r="O3" s="16">
        <v>-4.12744508333333</v>
      </c>
      <c r="P3" s="16">
        <v>-4.21086844318182</v>
      </c>
      <c r="Q3" s="16">
        <f t="shared" si="1"/>
        <v>-5.19239785309509</v>
      </c>
      <c r="T3" s="16">
        <v>-2.06009228794643</v>
      </c>
      <c r="U3" s="16">
        <v>-0.721450372023811</v>
      </c>
      <c r="V3" s="16">
        <v>-6.19254269463341</v>
      </c>
      <c r="W3" s="16">
        <v>-2.75685580498866</v>
      </c>
      <c r="X3" s="16">
        <v>-9.26316089955023</v>
      </c>
      <c r="Y3" s="16">
        <v>-2.14750940029985</v>
      </c>
      <c r="Z3" s="16">
        <f t="shared" si="2"/>
        <v>-3.8569352432404</v>
      </c>
      <c r="AC3" s="16">
        <v>-13.3711378571429</v>
      </c>
      <c r="AD3" s="16">
        <v>-0.189816824116743</v>
      </c>
      <c r="AE3" s="16">
        <v>-7.23669912826421</v>
      </c>
      <c r="AF3" s="16">
        <v>-8.17145785330261</v>
      </c>
      <c r="AG3" s="16">
        <v>-4.92727013207547</v>
      </c>
      <c r="AH3" s="16">
        <v>-4.65569203396226</v>
      </c>
      <c r="AI3" s="16">
        <f t="shared" ref="AI3:AI38" si="3">AVERAGE(AC3:AH3)</f>
        <v>-6.42534563814402</v>
      </c>
    </row>
    <row r="4" spans="1:35">
      <c r="A4" s="18" t="s">
        <v>28</v>
      </c>
      <c r="B4" s="16">
        <v>-6.63877212065137</v>
      </c>
      <c r="C4" s="16">
        <v>0.181390044411547</v>
      </c>
      <c r="D4" s="16">
        <v>0.243727235249622</v>
      </c>
      <c r="E4" s="16">
        <v>-3.13497077534039</v>
      </c>
      <c r="F4" s="16">
        <v>0.121184423664122</v>
      </c>
      <c r="G4" s="16">
        <v>-1.4172017480916</v>
      </c>
      <c r="H4" s="16">
        <f t="shared" si="0"/>
        <v>-1.77410715679301</v>
      </c>
      <c r="K4" s="16">
        <v>0.135015785185185</v>
      </c>
      <c r="L4" s="16">
        <v>0.200716</v>
      </c>
      <c r="M4" s="16">
        <v>0.146619393129771</v>
      </c>
      <c r="N4" s="16">
        <v>-4.80059847709924</v>
      </c>
      <c r="O4" s="16">
        <v>-0.294698321969697</v>
      </c>
      <c r="P4" s="16">
        <v>-0.106417223484848</v>
      </c>
      <c r="Q4" s="16">
        <f t="shared" si="1"/>
        <v>-0.786560474039805</v>
      </c>
      <c r="T4" s="16">
        <v>-3.33426342261905</v>
      </c>
      <c r="U4" s="16">
        <v>-0.141821123511905</v>
      </c>
      <c r="V4" s="16">
        <v>0.121841126228269</v>
      </c>
      <c r="W4" s="16">
        <v>0.360926386999244</v>
      </c>
      <c r="X4" s="16">
        <v>0.448719149175412</v>
      </c>
      <c r="Y4" s="16">
        <v>-1.47450989505247</v>
      </c>
      <c r="Z4" s="16">
        <f t="shared" si="2"/>
        <v>-0.669851296463417</v>
      </c>
      <c r="AC4" s="16">
        <v>-10.8254832450077</v>
      </c>
      <c r="AD4" s="16">
        <v>-0.594654347158218</v>
      </c>
      <c r="AE4" s="16">
        <v>-0.285357484639017</v>
      </c>
      <c r="AF4" s="16">
        <v>0.169640410906298</v>
      </c>
      <c r="AG4" s="16">
        <v>-0.35042100754717</v>
      </c>
      <c r="AH4" s="16">
        <v>-2.98458943773585</v>
      </c>
      <c r="AI4" s="16">
        <f t="shared" si="3"/>
        <v>-2.47847751853027</v>
      </c>
    </row>
    <row r="5" spans="1:35">
      <c r="A5" s="18" t="s">
        <v>29</v>
      </c>
      <c r="B5" s="16">
        <v>-5.53508525166543</v>
      </c>
      <c r="C5" s="16">
        <v>-0.0399229533678749</v>
      </c>
      <c r="D5" s="16">
        <v>-3.14058033282905</v>
      </c>
      <c r="E5" s="16">
        <v>-1.29638631996974</v>
      </c>
      <c r="F5" s="16">
        <v>-0.863236145038168</v>
      </c>
      <c r="G5" s="16">
        <v>1.31898885877863</v>
      </c>
      <c r="H5" s="16">
        <f t="shared" si="0"/>
        <v>-1.59270369068194</v>
      </c>
      <c r="K5" s="16">
        <v>-0.541650851851852</v>
      </c>
      <c r="L5" s="16">
        <v>-1.37416544444444</v>
      </c>
      <c r="M5" s="16">
        <v>-0.426268583969466</v>
      </c>
      <c r="N5" s="16">
        <v>-2.77126079007633</v>
      </c>
      <c r="O5" s="16">
        <v>-0.900951041666666</v>
      </c>
      <c r="P5" s="16">
        <v>-2.41767712121212</v>
      </c>
      <c r="Q5" s="16">
        <f t="shared" si="1"/>
        <v>-1.40532897220348</v>
      </c>
      <c r="T5" s="16">
        <v>-3.6628901860119</v>
      </c>
      <c r="U5" s="16">
        <v>-0.205437180059527</v>
      </c>
      <c r="V5" s="16">
        <v>-0.105617694633408</v>
      </c>
      <c r="W5" s="16">
        <v>-0.860594051398338</v>
      </c>
      <c r="X5" s="16">
        <v>-1.75309022113943</v>
      </c>
      <c r="Y5" s="16">
        <v>-8.87346791604198</v>
      </c>
      <c r="Z5" s="16">
        <f t="shared" si="2"/>
        <v>-2.57684954154743</v>
      </c>
      <c r="AC5" s="16">
        <v>-1.5460095890937</v>
      </c>
      <c r="AD5" s="16">
        <v>-0.772913970814132</v>
      </c>
      <c r="AE5" s="16">
        <v>-1.52400902841782</v>
      </c>
      <c r="AF5" s="16">
        <v>-1.11874159754224</v>
      </c>
      <c r="AG5" s="16">
        <v>-0.348181445283017</v>
      </c>
      <c r="AH5" s="16">
        <v>-0.562433886792452</v>
      </c>
      <c r="AI5" s="16">
        <f t="shared" si="3"/>
        <v>-0.978714919657226</v>
      </c>
    </row>
    <row r="6" spans="1:35">
      <c r="A6" s="18" t="s">
        <v>30</v>
      </c>
      <c r="B6" s="16">
        <v>-3.34107906365655</v>
      </c>
      <c r="C6" s="16">
        <v>-0.609889071058475</v>
      </c>
      <c r="D6" s="16">
        <v>-1.37970566944024</v>
      </c>
      <c r="E6" s="16">
        <v>0.0505781732223902</v>
      </c>
      <c r="F6" s="16">
        <v>0.2519705</v>
      </c>
      <c r="G6" s="16">
        <v>0.114605805343512</v>
      </c>
      <c r="H6" s="16">
        <f t="shared" si="0"/>
        <v>-0.818919887598228</v>
      </c>
      <c r="K6" s="16">
        <v>-0.762227796296296</v>
      </c>
      <c r="L6" s="16">
        <v>0.0665613407407407</v>
      </c>
      <c r="M6" s="16">
        <v>0.0887253740458015</v>
      </c>
      <c r="N6" s="16">
        <v>0.122962412213741</v>
      </c>
      <c r="O6" s="16">
        <v>0.00726293181818199</v>
      </c>
      <c r="P6" s="16">
        <v>0.166240409090909</v>
      </c>
      <c r="Q6" s="16">
        <f t="shared" si="1"/>
        <v>-0.051745888064487</v>
      </c>
      <c r="T6" s="16">
        <v>0.0989201264880951</v>
      </c>
      <c r="U6" s="16">
        <v>0.0529278608630952</v>
      </c>
      <c r="V6" s="16">
        <v>-0.519426315192744</v>
      </c>
      <c r="W6" s="16">
        <v>-3.50041058201058</v>
      </c>
      <c r="X6" s="16">
        <v>0.105061596701649</v>
      </c>
      <c r="Y6" s="16">
        <v>0.418316450524738</v>
      </c>
      <c r="Z6" s="16">
        <f t="shared" si="2"/>
        <v>-0.557435143770958</v>
      </c>
      <c r="AC6" s="16">
        <v>0.194369631336405</v>
      </c>
      <c r="AD6" s="16">
        <v>0.0826968932411674</v>
      </c>
      <c r="AE6" s="16">
        <v>0.129081885560675</v>
      </c>
      <c r="AF6" s="16">
        <v>-1.29711411290323</v>
      </c>
      <c r="AG6" s="16">
        <v>-0.190493924528302</v>
      </c>
      <c r="AH6" s="16">
        <v>0.0955176000000003</v>
      </c>
      <c r="AI6" s="16">
        <f t="shared" si="3"/>
        <v>-0.164323671215547</v>
      </c>
    </row>
    <row r="7" spans="1:35">
      <c r="A7" s="18" t="s">
        <v>31</v>
      </c>
      <c r="B7" s="16">
        <v>0.0663627017024425</v>
      </c>
      <c r="C7" s="16">
        <v>-0.176145514433753</v>
      </c>
      <c r="D7" s="16">
        <v>0.129389610438729</v>
      </c>
      <c r="E7" s="16">
        <v>-0.00938301437216341</v>
      </c>
      <c r="F7" s="16">
        <v>0.10549870610687</v>
      </c>
      <c r="G7" s="16">
        <v>-0.00109133969465652</v>
      </c>
      <c r="H7" s="16">
        <f t="shared" si="0"/>
        <v>0.0191051916245782</v>
      </c>
      <c r="K7" s="16">
        <v>-7.08001459259259</v>
      </c>
      <c r="L7" s="16">
        <v>-0.767240581481482</v>
      </c>
      <c r="M7" s="16">
        <v>0.0780898320610686</v>
      </c>
      <c r="N7" s="16">
        <v>0.114530145038168</v>
      </c>
      <c r="O7" s="16">
        <v>0.0631674053030303</v>
      </c>
      <c r="P7" s="16">
        <v>0.00552625378787868</v>
      </c>
      <c r="Q7" s="16">
        <f t="shared" si="1"/>
        <v>-1.26432358964732</v>
      </c>
      <c r="T7" s="16">
        <v>0.0912676450892858</v>
      </c>
      <c r="U7" s="16">
        <v>0.144127555803572</v>
      </c>
      <c r="V7" s="16">
        <v>-1.16174264928193</v>
      </c>
      <c r="W7" s="16">
        <v>0.189946485260771</v>
      </c>
      <c r="X7" s="16">
        <v>0.167543410794603</v>
      </c>
      <c r="Y7" s="16">
        <v>-0.752448815592204</v>
      </c>
      <c r="Z7" s="16">
        <f t="shared" si="2"/>
        <v>-0.220217727987651</v>
      </c>
      <c r="AC7" s="16">
        <v>0.0630960944700462</v>
      </c>
      <c r="AD7" s="16">
        <v>0.0044057795698925</v>
      </c>
      <c r="AE7" s="16">
        <v>0.141003655913979</v>
      </c>
      <c r="AF7" s="16">
        <v>0.248195433947773</v>
      </c>
      <c r="AG7" s="16">
        <v>0.0955340377358489</v>
      </c>
      <c r="AH7" s="16">
        <v>0.0741148150943396</v>
      </c>
      <c r="AI7" s="16">
        <f t="shared" si="3"/>
        <v>0.10439163612198</v>
      </c>
    </row>
    <row r="8" spans="1:35">
      <c r="A8" s="18" t="s">
        <v>32</v>
      </c>
      <c r="B8" s="16">
        <v>0.0406601665433013</v>
      </c>
      <c r="C8" s="16">
        <v>-0.00225018504811254</v>
      </c>
      <c r="D8" s="16">
        <v>-0.232835571104387</v>
      </c>
      <c r="E8" s="16">
        <v>-0.398885828290469</v>
      </c>
      <c r="F8" s="16">
        <v>0.0375351221374046</v>
      </c>
      <c r="G8" s="16">
        <v>-0.452782916030534</v>
      </c>
      <c r="H8" s="16">
        <f t="shared" si="0"/>
        <v>-0.168093201965466</v>
      </c>
      <c r="K8" s="16">
        <v>-0.879400140740741</v>
      </c>
      <c r="L8" s="16">
        <v>-0.201614937037037</v>
      </c>
      <c r="M8" s="16">
        <v>-0.0419427480916031</v>
      </c>
      <c r="N8" s="16">
        <v>0.00952649999999991</v>
      </c>
      <c r="O8" s="16">
        <v>0.00964696969696969</v>
      </c>
      <c r="P8" s="16">
        <v>0.0390798068181818</v>
      </c>
      <c r="Q8" s="16">
        <f t="shared" si="1"/>
        <v>-0.177450758225705</v>
      </c>
      <c r="T8" s="16">
        <v>0.0582794977678571</v>
      </c>
      <c r="U8" s="16">
        <v>0.00926074404761893</v>
      </c>
      <c r="V8" s="16">
        <v>0.0902586696900983</v>
      </c>
      <c r="W8" s="16">
        <v>0.170107891156463</v>
      </c>
      <c r="X8" s="16">
        <v>0.090578571964018</v>
      </c>
      <c r="Y8" s="16">
        <v>-0.588101604197901</v>
      </c>
      <c r="Z8" s="16">
        <f t="shared" si="2"/>
        <v>-0.0282693715953077</v>
      </c>
      <c r="AC8" s="16">
        <v>0.0397373271889401</v>
      </c>
      <c r="AD8" s="16">
        <v>0.0563317549923194</v>
      </c>
      <c r="AE8" s="16">
        <v>0.0622990552995393</v>
      </c>
      <c r="AF8" s="16">
        <v>-0.100911466973886</v>
      </c>
      <c r="AG8" s="16">
        <v>-0.362759781132076</v>
      </c>
      <c r="AH8" s="16">
        <v>0.0154042528301888</v>
      </c>
      <c r="AI8" s="16">
        <f t="shared" si="3"/>
        <v>-0.0483164762991624</v>
      </c>
    </row>
    <row r="9" spans="1:35">
      <c r="A9" s="18" t="s">
        <v>33</v>
      </c>
      <c r="B9" s="16">
        <v>-0.140740192450037</v>
      </c>
      <c r="C9" s="16">
        <v>-2.7651802257587</v>
      </c>
      <c r="D9" s="16">
        <v>-4.52894327155825</v>
      </c>
      <c r="E9" s="16">
        <v>-8.11818007942511</v>
      </c>
      <c r="F9" s="16">
        <v>-6.41027</v>
      </c>
      <c r="G9" s="16">
        <v>-5.38415734351145</v>
      </c>
      <c r="H9" s="16">
        <f t="shared" si="0"/>
        <v>-4.55791185211726</v>
      </c>
      <c r="K9" s="16">
        <v>-6.29713479259259</v>
      </c>
      <c r="L9" s="16">
        <v>-9.24769347407407</v>
      </c>
      <c r="M9" s="16">
        <v>-1.1558776870229</v>
      </c>
      <c r="N9" s="16">
        <v>-0.536474904580152</v>
      </c>
      <c r="O9" s="16">
        <v>-0.28712831060606</v>
      </c>
      <c r="P9" s="16">
        <v>-3.72172353787879</v>
      </c>
      <c r="Q9" s="16">
        <f t="shared" si="1"/>
        <v>-3.54100545112576</v>
      </c>
      <c r="T9" s="16">
        <v>-5.79803680059524</v>
      </c>
      <c r="U9" s="16">
        <v>-0.296247455357142</v>
      </c>
      <c r="V9" s="16">
        <v>-2.69694024565382</v>
      </c>
      <c r="W9" s="16">
        <v>-10.9376532690854</v>
      </c>
      <c r="X9" s="16">
        <v>-3.59757543478261</v>
      </c>
      <c r="Y9" s="16">
        <v>-4.13272616941529</v>
      </c>
      <c r="Z9" s="16">
        <f t="shared" si="2"/>
        <v>-4.57652989581492</v>
      </c>
      <c r="AC9" s="16">
        <v>-0.227606758832567</v>
      </c>
      <c r="AD9" s="16">
        <v>-4.05764209677419</v>
      </c>
      <c r="AE9" s="16">
        <v>-8.53985018049155</v>
      </c>
      <c r="AF9" s="16">
        <v>-6.03716671274962</v>
      </c>
      <c r="AG9" s="16">
        <v>-6.32387913207547</v>
      </c>
      <c r="AH9" s="16">
        <v>-4.01045340754717</v>
      </c>
      <c r="AI9" s="16">
        <f t="shared" si="3"/>
        <v>-4.86609971474509</v>
      </c>
    </row>
    <row r="10" spans="1:35">
      <c r="A10" s="18" t="s">
        <v>34</v>
      </c>
      <c r="B10" s="16">
        <v>-0.981190473723167</v>
      </c>
      <c r="C10" s="16">
        <v>-0.275301132494449</v>
      </c>
      <c r="D10" s="16">
        <v>-0.233190071860816</v>
      </c>
      <c r="E10" s="16">
        <v>-3.22136227307111</v>
      </c>
      <c r="F10" s="16">
        <v>-0.308761671755723</v>
      </c>
      <c r="G10" s="16">
        <v>-0.212425461832058</v>
      </c>
      <c r="H10" s="16">
        <f t="shared" si="0"/>
        <v>-0.872038514122887</v>
      </c>
      <c r="K10" s="16">
        <v>-3.79826944074074</v>
      </c>
      <c r="L10" s="16">
        <v>-0.734547385185187</v>
      </c>
      <c r="M10" s="16">
        <v>-0.847972290076335</v>
      </c>
      <c r="N10" s="16">
        <v>-2.14224167557252</v>
      </c>
      <c r="O10" s="16">
        <v>-0.128345454545455</v>
      </c>
      <c r="P10" s="16">
        <v>-2.24789398106061</v>
      </c>
      <c r="Q10" s="16">
        <f t="shared" si="1"/>
        <v>-1.64987837119681</v>
      </c>
      <c r="T10" s="16">
        <v>-0.366083828125001</v>
      </c>
      <c r="U10" s="16">
        <v>-1.59550276785714</v>
      </c>
      <c r="V10" s="16">
        <v>-0.231363858654573</v>
      </c>
      <c r="W10" s="16">
        <v>-0.144475937263796</v>
      </c>
      <c r="X10" s="16">
        <v>-3.09646065217391</v>
      </c>
      <c r="Y10" s="16">
        <v>-1.03116340704648</v>
      </c>
      <c r="Z10" s="16">
        <f t="shared" si="2"/>
        <v>-1.07750840852015</v>
      </c>
      <c r="AC10" s="16">
        <v>-0.350484158986175</v>
      </c>
      <c r="AD10" s="16">
        <v>-0.0728197196620573</v>
      </c>
      <c r="AE10" s="16">
        <v>-8.07689444700461</v>
      </c>
      <c r="AF10" s="16">
        <v>-0.273502304147464</v>
      </c>
      <c r="AG10" s="16">
        <v>-0.195805022641512</v>
      </c>
      <c r="AH10" s="16">
        <v>-0.145504150943394</v>
      </c>
      <c r="AI10" s="16">
        <f t="shared" si="3"/>
        <v>-1.5191683005642</v>
      </c>
    </row>
    <row r="11" spans="1:35">
      <c r="A11" s="18" t="s">
        <v>35</v>
      </c>
      <c r="B11" s="16">
        <v>0.0211021169504071</v>
      </c>
      <c r="C11" s="16">
        <v>-2.22939472242783</v>
      </c>
      <c r="D11" s="16">
        <v>-0.211975170196672</v>
      </c>
      <c r="E11" s="16">
        <v>0.0118668683812405</v>
      </c>
      <c r="F11" s="16">
        <v>-0.728731312977099</v>
      </c>
      <c r="G11" s="16">
        <v>-0.0521471946564886</v>
      </c>
      <c r="H11" s="16">
        <f t="shared" si="0"/>
        <v>-0.531546569154407</v>
      </c>
      <c r="K11" s="16">
        <v>-2.19820629259259</v>
      </c>
      <c r="L11" s="16">
        <v>-4.33756855925926</v>
      </c>
      <c r="M11" s="16">
        <v>-1.97022516030534</v>
      </c>
      <c r="N11" s="16">
        <v>0.0581845992366412</v>
      </c>
      <c r="O11" s="16">
        <v>0.00318939393939398</v>
      </c>
      <c r="P11" s="16">
        <v>-5.39424001136364</v>
      </c>
      <c r="Q11" s="16">
        <f t="shared" si="1"/>
        <v>-2.30647767172413</v>
      </c>
      <c r="T11" s="16">
        <v>0.0597673623511905</v>
      </c>
      <c r="U11" s="16">
        <v>-0.48255162202381</v>
      </c>
      <c r="V11" s="16">
        <v>0.0944667422524565</v>
      </c>
      <c r="W11" s="16">
        <v>-3.0988102532124</v>
      </c>
      <c r="X11" s="16">
        <v>-4.87388416791604</v>
      </c>
      <c r="Y11" s="16">
        <v>-0.0840431409295352</v>
      </c>
      <c r="Z11" s="16">
        <f t="shared" si="2"/>
        <v>-1.39750917991302</v>
      </c>
      <c r="AC11" s="16">
        <v>0.0631720430107527</v>
      </c>
      <c r="AD11" s="16">
        <v>0.0803241167434715</v>
      </c>
      <c r="AE11" s="16">
        <v>-6.4838948156682</v>
      </c>
      <c r="AF11" s="16">
        <v>0.0763332795698925</v>
      </c>
      <c r="AG11" s="16">
        <v>0.0439054603773585</v>
      </c>
      <c r="AH11" s="16">
        <v>0.0228256603773584</v>
      </c>
      <c r="AI11" s="16">
        <f t="shared" si="3"/>
        <v>-1.03288904259823</v>
      </c>
    </row>
    <row r="12" spans="1:35">
      <c r="A12" s="18" t="s">
        <v>36</v>
      </c>
      <c r="B12" s="16">
        <v>0.0200029607698002</v>
      </c>
      <c r="C12" s="16">
        <v>-2.39192531458179</v>
      </c>
      <c r="D12" s="16">
        <v>-2.56842350226929</v>
      </c>
      <c r="E12" s="16">
        <v>0.361229186838124</v>
      </c>
      <c r="F12" s="16">
        <v>-4.89653095038168</v>
      </c>
      <c r="G12" s="16">
        <v>0.0357210496183206</v>
      </c>
      <c r="H12" s="16">
        <f t="shared" si="0"/>
        <v>-1.57332109500109</v>
      </c>
      <c r="K12" s="16">
        <v>0.442737214814815</v>
      </c>
      <c r="L12" s="16">
        <v>-0.267463885185185</v>
      </c>
      <c r="M12" s="16">
        <v>-1.4283105</v>
      </c>
      <c r="N12" s="16">
        <v>-0.149239442748092</v>
      </c>
      <c r="O12" s="16">
        <v>0.0148613636363637</v>
      </c>
      <c r="P12" s="16">
        <v>-4.47151627272727</v>
      </c>
      <c r="Q12" s="16">
        <f t="shared" si="1"/>
        <v>-0.976488587034895</v>
      </c>
      <c r="T12" s="16">
        <v>-0.595369549851191</v>
      </c>
      <c r="U12" s="16">
        <v>-0.00988319196428571</v>
      </c>
      <c r="V12" s="16">
        <v>-0.068892709750567</v>
      </c>
      <c r="W12" s="16">
        <v>-0.377685631141345</v>
      </c>
      <c r="X12" s="16">
        <v>-1.33556047226387</v>
      </c>
      <c r="Y12" s="16">
        <v>-2.00405124437781</v>
      </c>
      <c r="Z12" s="16">
        <f t="shared" si="2"/>
        <v>-0.731907133224845</v>
      </c>
      <c r="AC12" s="16">
        <v>0.0377008717357911</v>
      </c>
      <c r="AD12" s="16">
        <v>0.0751900384024578</v>
      </c>
      <c r="AE12" s="16">
        <v>0.155181086789554</v>
      </c>
      <c r="AF12" s="16">
        <v>0.0539670852534563</v>
      </c>
      <c r="AG12" s="16">
        <v>0.0082850603773585</v>
      </c>
      <c r="AH12" s="16">
        <v>0.0124015094339624</v>
      </c>
      <c r="AI12" s="16">
        <f t="shared" si="3"/>
        <v>0.0571209419987634</v>
      </c>
    </row>
    <row r="13" spans="1:35">
      <c r="A13" s="18" t="s">
        <v>37</v>
      </c>
      <c r="B13" s="16">
        <v>0.0254346076980015</v>
      </c>
      <c r="C13" s="16">
        <v>0.0466994596595115</v>
      </c>
      <c r="D13" s="16">
        <v>-2.64752225037821</v>
      </c>
      <c r="E13" s="16">
        <v>-0.986785983358548</v>
      </c>
      <c r="F13" s="16">
        <v>-0.428169</v>
      </c>
      <c r="G13" s="16">
        <v>0.159480790076336</v>
      </c>
      <c r="H13" s="16">
        <f t="shared" si="0"/>
        <v>-0.638477062717152</v>
      </c>
      <c r="K13" s="16">
        <v>-0.0556762222222222</v>
      </c>
      <c r="L13" s="16">
        <v>0.0152980888888889</v>
      </c>
      <c r="M13" s="16">
        <v>-1.8993141870229</v>
      </c>
      <c r="N13" s="16">
        <v>-0.0252902213740458</v>
      </c>
      <c r="O13" s="16">
        <v>0.0125068181818182</v>
      </c>
      <c r="P13" s="16">
        <v>-1.38200173863636</v>
      </c>
      <c r="Q13" s="16">
        <f t="shared" si="1"/>
        <v>-0.55574624369747</v>
      </c>
      <c r="T13" s="16">
        <v>0.0592359821428571</v>
      </c>
      <c r="U13" s="16">
        <v>0.0658085602678571</v>
      </c>
      <c r="V13" s="16">
        <v>0.029713529856387</v>
      </c>
      <c r="W13" s="16">
        <v>-0.149429391534391</v>
      </c>
      <c r="X13" s="16">
        <v>0.0388771289355323</v>
      </c>
      <c r="Y13" s="16">
        <v>-0.113647410044977</v>
      </c>
      <c r="Z13" s="16">
        <f t="shared" si="2"/>
        <v>-0.0115736000627893</v>
      </c>
      <c r="AC13" s="16">
        <v>0.0350007258064516</v>
      </c>
      <c r="AD13" s="16">
        <v>0.00955606758832566</v>
      </c>
      <c r="AE13" s="16">
        <v>0.0358923195084486</v>
      </c>
      <c r="AF13" s="16">
        <v>0.0546067165898618</v>
      </c>
      <c r="AG13" s="16">
        <v>0.0316701886792453</v>
      </c>
      <c r="AH13" s="16">
        <v>0.0249449056603774</v>
      </c>
      <c r="AI13" s="16">
        <f t="shared" si="3"/>
        <v>0.0319451539721184</v>
      </c>
    </row>
    <row r="14" spans="1:35">
      <c r="A14" s="18" t="s">
        <v>38</v>
      </c>
      <c r="B14" s="16">
        <v>-0.0198770984455959</v>
      </c>
      <c r="C14" s="16">
        <v>0.03292044411547</v>
      </c>
      <c r="D14" s="16">
        <v>-1.09581375189107</v>
      </c>
      <c r="E14" s="16">
        <v>-0.266757624810892</v>
      </c>
      <c r="F14" s="16">
        <v>-0.0943107061068703</v>
      </c>
      <c r="G14" s="16">
        <v>-0.782363145038168</v>
      </c>
      <c r="H14" s="16">
        <f t="shared" si="0"/>
        <v>-0.371033647029522</v>
      </c>
      <c r="K14" s="16">
        <v>-2.8109424</v>
      </c>
      <c r="L14" s="16">
        <v>0.00140153703703705</v>
      </c>
      <c r="M14" s="16">
        <v>-0.859630935114504</v>
      </c>
      <c r="N14" s="16">
        <v>0.0174094160305344</v>
      </c>
      <c r="O14" s="16">
        <v>0.0166954545454546</v>
      </c>
      <c r="P14" s="16">
        <v>-0.167553321969697</v>
      </c>
      <c r="Q14" s="16">
        <f t="shared" si="1"/>
        <v>-0.633770041578529</v>
      </c>
      <c r="T14" s="16">
        <v>0.0153075855654762</v>
      </c>
      <c r="U14" s="16">
        <v>0.0168850186011904</v>
      </c>
      <c r="V14" s="16">
        <v>0.0176666666666666</v>
      </c>
      <c r="W14" s="16">
        <v>0.24873985260771</v>
      </c>
      <c r="X14" s="16">
        <v>0.0719442653673164</v>
      </c>
      <c r="Y14" s="16">
        <v>-0.513603170914543</v>
      </c>
      <c r="Z14" s="16">
        <f t="shared" si="2"/>
        <v>-0.0238432970176972</v>
      </c>
      <c r="AC14" s="16">
        <v>0.0192432334869432</v>
      </c>
      <c r="AD14" s="16">
        <v>0.0159254992319508</v>
      </c>
      <c r="AE14" s="16">
        <v>-0.447185341781874</v>
      </c>
      <c r="AF14" s="16">
        <v>0.17705537250384</v>
      </c>
      <c r="AG14" s="16">
        <v>0.0780233962264151</v>
      </c>
      <c r="AH14" s="16">
        <v>0.0379049056603774</v>
      </c>
      <c r="AI14" s="16">
        <f t="shared" si="3"/>
        <v>-0.0198388224453912</v>
      </c>
    </row>
    <row r="15" spans="1:35">
      <c r="A15" s="18" t="s">
        <v>39</v>
      </c>
      <c r="B15" s="16">
        <v>-2.70590476683938</v>
      </c>
      <c r="C15" s="16">
        <v>-2.18109579940785</v>
      </c>
      <c r="D15" s="16">
        <v>0.328090960665658</v>
      </c>
      <c r="E15" s="16">
        <v>-1.19638307488654</v>
      </c>
      <c r="F15" s="16">
        <v>-0.312564217557251</v>
      </c>
      <c r="G15" s="16">
        <v>-3.80074086641221</v>
      </c>
      <c r="H15" s="16">
        <f t="shared" si="0"/>
        <v>-1.64476629407293</v>
      </c>
      <c r="K15" s="16">
        <v>-4.78892343703703</v>
      </c>
      <c r="L15" s="16">
        <v>-2.2239205</v>
      </c>
      <c r="M15" s="16">
        <v>-1.27745623664122</v>
      </c>
      <c r="N15" s="16">
        <v>-0.345324362595418</v>
      </c>
      <c r="O15" s="16">
        <v>-0.25266893939394</v>
      </c>
      <c r="P15" s="16">
        <v>-0.225852939393939</v>
      </c>
      <c r="Q15" s="16">
        <f t="shared" si="1"/>
        <v>-1.51902440251026</v>
      </c>
      <c r="T15" s="16">
        <v>-0.331515226934526</v>
      </c>
      <c r="U15" s="16">
        <v>-0.257381960565472</v>
      </c>
      <c r="V15" s="16">
        <v>-0.302602993197279</v>
      </c>
      <c r="W15" s="16">
        <v>-3.66436874527589</v>
      </c>
      <c r="X15" s="16">
        <v>-1.53378821589206</v>
      </c>
      <c r="Y15" s="16">
        <v>-3.62228831334333</v>
      </c>
      <c r="Z15" s="16">
        <f t="shared" si="2"/>
        <v>-1.61865757586809</v>
      </c>
      <c r="AC15" s="16">
        <v>-0.210430376344087</v>
      </c>
      <c r="AD15" s="16">
        <v>-0.30811520737327</v>
      </c>
      <c r="AE15" s="16">
        <v>-0.190247004608294</v>
      </c>
      <c r="AF15" s="16">
        <v>-4.1907307296467</v>
      </c>
      <c r="AG15" s="16">
        <v>-0.701762837735848</v>
      </c>
      <c r="AH15" s="16">
        <v>-0.224066415094338</v>
      </c>
      <c r="AI15" s="16">
        <f t="shared" si="3"/>
        <v>-0.970892095133756</v>
      </c>
    </row>
    <row r="16" spans="1:35">
      <c r="A16" s="18" t="s">
        <v>40</v>
      </c>
      <c r="B16" s="16">
        <v>0.0266405255366395</v>
      </c>
      <c r="C16" s="16">
        <v>0.016839378238342</v>
      </c>
      <c r="D16" s="16">
        <v>0.055596206505295</v>
      </c>
      <c r="E16" s="16">
        <v>-0.273215824508321</v>
      </c>
      <c r="F16" s="16">
        <v>0.0994610687022901</v>
      </c>
      <c r="G16" s="16">
        <v>-1.03225701526718</v>
      </c>
      <c r="H16" s="16">
        <f t="shared" si="0"/>
        <v>-0.184489276798822</v>
      </c>
      <c r="K16" s="16">
        <v>-2.68164131111111</v>
      </c>
      <c r="L16" s="16">
        <v>0.0113389407407408</v>
      </c>
      <c r="M16" s="16">
        <v>-0.212597946564886</v>
      </c>
      <c r="N16" s="16">
        <v>0.0810458015267176</v>
      </c>
      <c r="O16" s="16">
        <v>0.0482598484848485</v>
      </c>
      <c r="P16" s="16">
        <v>0.0276226022727271</v>
      </c>
      <c r="Q16" s="16">
        <f t="shared" si="1"/>
        <v>-0.454328677441827</v>
      </c>
      <c r="T16" s="16">
        <v>-0.011823988095238</v>
      </c>
      <c r="U16" s="16">
        <v>-0.0262810788690475</v>
      </c>
      <c r="V16" s="16">
        <v>0.056687074829932</v>
      </c>
      <c r="W16" s="16">
        <v>-2.55663619047619</v>
      </c>
      <c r="X16" s="16">
        <v>0.132991754122939</v>
      </c>
      <c r="Y16" s="16">
        <v>-0.288191810344828</v>
      </c>
      <c r="Z16" s="16">
        <f t="shared" si="2"/>
        <v>-0.448875706472072</v>
      </c>
      <c r="AC16" s="16">
        <v>-0.00652812596006151</v>
      </c>
      <c r="AD16" s="16">
        <v>0.019540119047619</v>
      </c>
      <c r="AE16" s="16">
        <v>-1.21041153993856</v>
      </c>
      <c r="AF16" s="16">
        <v>-0.0913397657450076</v>
      </c>
      <c r="AG16" s="16">
        <v>-0.805042283018868</v>
      </c>
      <c r="AH16" s="16">
        <v>-0.0280592905660377</v>
      </c>
      <c r="AI16" s="16">
        <f t="shared" si="3"/>
        <v>-0.353640147696819</v>
      </c>
    </row>
    <row r="17" spans="1:35">
      <c r="A17" s="18" t="s">
        <v>41</v>
      </c>
      <c r="B17" s="16">
        <v>-0.00206341968911907</v>
      </c>
      <c r="C17" s="16">
        <v>-0.00644951147298295</v>
      </c>
      <c r="D17" s="16">
        <v>0.0858540506807865</v>
      </c>
      <c r="E17" s="16">
        <v>-0.0661952080181544</v>
      </c>
      <c r="F17" s="16">
        <v>0.00502900763358775</v>
      </c>
      <c r="G17" s="16">
        <v>0.163833587786259</v>
      </c>
      <c r="H17" s="16">
        <f t="shared" si="0"/>
        <v>0.0300014178200629</v>
      </c>
      <c r="K17" s="16">
        <v>0.377707925925926</v>
      </c>
      <c r="L17" s="16">
        <v>0.164309374074074</v>
      </c>
      <c r="M17" s="16">
        <v>-3.30646064885496</v>
      </c>
      <c r="N17" s="16">
        <v>0.0592504083969467</v>
      </c>
      <c r="O17" s="16">
        <v>-0.17813684469697</v>
      </c>
      <c r="P17" s="16">
        <v>-0.100098170454545</v>
      </c>
      <c r="Q17" s="16">
        <f t="shared" si="1"/>
        <v>-0.497237992601588</v>
      </c>
      <c r="T17" s="16">
        <v>-0.520740818452381</v>
      </c>
      <c r="U17" s="16">
        <v>-0.153385461309524</v>
      </c>
      <c r="V17" s="16">
        <v>-0.0813458730158729</v>
      </c>
      <c r="W17" s="16">
        <v>0.130269013605442</v>
      </c>
      <c r="X17" s="16">
        <v>-0.00230667916041974</v>
      </c>
      <c r="Y17" s="16">
        <v>-0.483996701649175</v>
      </c>
      <c r="Z17" s="16">
        <f t="shared" si="2"/>
        <v>-0.185251086663655</v>
      </c>
      <c r="AC17" s="16">
        <v>-0.439035706605223</v>
      </c>
      <c r="AD17" s="16">
        <v>-0.252742319508449</v>
      </c>
      <c r="AE17" s="16">
        <v>-3.2260190860215</v>
      </c>
      <c r="AF17" s="16">
        <v>0.199144304915515</v>
      </c>
      <c r="AG17" s="16">
        <v>-1.54274021886792</v>
      </c>
      <c r="AH17" s="16">
        <v>0.0336484075471698</v>
      </c>
      <c r="AI17" s="16">
        <f t="shared" si="3"/>
        <v>-0.871290769756736</v>
      </c>
    </row>
    <row r="18" spans="1:35">
      <c r="A18" s="18" t="s">
        <v>42</v>
      </c>
      <c r="B18" s="16">
        <v>-0.144843656550704</v>
      </c>
      <c r="C18" s="16">
        <v>-4.11706413027387</v>
      </c>
      <c r="D18" s="16">
        <v>-8.90862947428139</v>
      </c>
      <c r="E18" s="16">
        <v>-7.05549681543117</v>
      </c>
      <c r="F18" s="16">
        <v>-5.40033879007633</v>
      </c>
      <c r="G18" s="16">
        <v>-1.43205230152672</v>
      </c>
      <c r="H18" s="16">
        <f t="shared" si="0"/>
        <v>-4.50973752802336</v>
      </c>
      <c r="K18" s="16">
        <v>-0.691723344444444</v>
      </c>
      <c r="L18" s="16">
        <v>-0.469209400000002</v>
      </c>
      <c r="M18" s="16">
        <v>-5.84730424427481</v>
      </c>
      <c r="N18" s="16">
        <v>-6.46676391221374</v>
      </c>
      <c r="O18" s="16">
        <v>-6.4787549469697</v>
      </c>
      <c r="P18" s="16">
        <v>-4.80471147727273</v>
      </c>
      <c r="Q18" s="16">
        <f t="shared" si="1"/>
        <v>-4.12641122086257</v>
      </c>
      <c r="T18" s="16">
        <v>-0.541946927083331</v>
      </c>
      <c r="U18" s="16">
        <v>-3.93257579241071</v>
      </c>
      <c r="V18" s="16">
        <v>-2.50086390400604</v>
      </c>
      <c r="W18" s="16">
        <v>-5.37842424792139</v>
      </c>
      <c r="X18" s="16">
        <v>-7.58818866191904</v>
      </c>
      <c r="Y18" s="16">
        <v>-3.46616863193403</v>
      </c>
      <c r="Z18" s="16">
        <f t="shared" si="2"/>
        <v>-3.90136136087909</v>
      </c>
      <c r="AC18" s="16">
        <v>-6.66804207757297</v>
      </c>
      <c r="AD18" s="16">
        <v>-9.16532450076805</v>
      </c>
      <c r="AE18" s="16">
        <v>-2.79409799539171</v>
      </c>
      <c r="AF18" s="16">
        <v>-5.37347366359447</v>
      </c>
      <c r="AG18" s="16">
        <v>-6.32628425283019</v>
      </c>
      <c r="AH18" s="16">
        <v>-0.15340559245283</v>
      </c>
      <c r="AI18" s="16">
        <f t="shared" si="3"/>
        <v>-5.08010468043504</v>
      </c>
    </row>
    <row r="19" spans="1:35">
      <c r="A19" s="18" t="s">
        <v>43</v>
      </c>
      <c r="B19" s="16">
        <v>-0.110737017024427</v>
      </c>
      <c r="C19" s="16">
        <v>-0.831576558105108</v>
      </c>
      <c r="D19" s="16">
        <v>-4.80379209152799</v>
      </c>
      <c r="E19" s="16">
        <v>-0.107361573373675</v>
      </c>
      <c r="F19" s="16">
        <v>-0.614654889312977</v>
      </c>
      <c r="G19" s="16">
        <v>-0.244919576335878</v>
      </c>
      <c r="H19" s="16">
        <f t="shared" si="0"/>
        <v>-1.11884028428001</v>
      </c>
      <c r="K19" s="16">
        <v>-0.237945525925928</v>
      </c>
      <c r="L19" s="16">
        <v>-3.29282022962963</v>
      </c>
      <c r="M19" s="16">
        <v>-0.269878293893131</v>
      </c>
      <c r="N19" s="16">
        <v>-2.75792101526718</v>
      </c>
      <c r="O19" s="16">
        <v>-2.28018670833333</v>
      </c>
      <c r="P19" s="16">
        <v>-0.183178772727271</v>
      </c>
      <c r="Q19" s="16">
        <f t="shared" si="1"/>
        <v>-1.50365509096274</v>
      </c>
      <c r="T19" s="16">
        <v>-3.30721933407738</v>
      </c>
      <c r="U19" s="16">
        <v>-0.170368463541665</v>
      </c>
      <c r="V19" s="16">
        <v>-1.22575685563114</v>
      </c>
      <c r="W19" s="16">
        <v>-0.192904006046865</v>
      </c>
      <c r="X19" s="16">
        <v>-5.46976691529235</v>
      </c>
      <c r="Y19" s="16">
        <v>-2.23866732008995</v>
      </c>
      <c r="Z19" s="16">
        <f t="shared" si="2"/>
        <v>-2.10078048244656</v>
      </c>
      <c r="AC19" s="16">
        <v>-1.68787897465438</v>
      </c>
      <c r="AD19" s="16">
        <v>-0.602633106758836</v>
      </c>
      <c r="AE19" s="16">
        <v>-2.7843315860215</v>
      </c>
      <c r="AF19" s="16">
        <v>-3.02784843701997</v>
      </c>
      <c r="AG19" s="16">
        <v>-0.537242286792454</v>
      </c>
      <c r="AH19" s="16">
        <v>-0.175941132075471</v>
      </c>
      <c r="AI19" s="16">
        <f t="shared" si="3"/>
        <v>-1.46931258722044</v>
      </c>
    </row>
    <row r="20" spans="1:35">
      <c r="A20" s="18" t="s">
        <v>44</v>
      </c>
      <c r="B20" s="16">
        <v>0.024376017764619</v>
      </c>
      <c r="C20" s="16">
        <v>0.205674618800888</v>
      </c>
      <c r="D20" s="16">
        <v>-2.18359679273828</v>
      </c>
      <c r="E20" s="16">
        <v>0.0497624810892588</v>
      </c>
      <c r="F20" s="16">
        <v>-1.2165526908397</v>
      </c>
      <c r="G20" s="16">
        <v>-0.044737141221374</v>
      </c>
      <c r="H20" s="16">
        <f t="shared" si="0"/>
        <v>-0.527512251190763</v>
      </c>
      <c r="K20" s="16">
        <v>-0.532640088888889</v>
      </c>
      <c r="L20" s="16">
        <v>-1.11041524074074</v>
      </c>
      <c r="M20" s="16">
        <v>-1.78840758015267</v>
      </c>
      <c r="N20" s="16">
        <v>0.241847717557252</v>
      </c>
      <c r="O20" s="16">
        <v>0.168185515151515</v>
      </c>
      <c r="P20" s="16">
        <v>0.0175602424242421</v>
      </c>
      <c r="Q20" s="16">
        <f t="shared" si="1"/>
        <v>-0.500644905774882</v>
      </c>
      <c r="T20" s="16">
        <v>-1.98832624255952</v>
      </c>
      <c r="U20" s="16">
        <v>-0.175334520089285</v>
      </c>
      <c r="V20" s="16">
        <v>-2.82783731292517</v>
      </c>
      <c r="W20" s="16">
        <v>0.0696152683295537</v>
      </c>
      <c r="X20" s="16">
        <v>-1.55668935532234</v>
      </c>
      <c r="Y20" s="16">
        <v>0.143102916041979</v>
      </c>
      <c r="Z20" s="16">
        <f t="shared" si="2"/>
        <v>-1.05591154108746</v>
      </c>
      <c r="AC20" s="16">
        <v>-4.67543536482335</v>
      </c>
      <c r="AD20" s="16">
        <v>-3.29244726190476</v>
      </c>
      <c r="AE20" s="16">
        <v>-1.54094436635945</v>
      </c>
      <c r="AF20" s="16">
        <v>-1.99835410138249</v>
      </c>
      <c r="AG20" s="16">
        <v>-0.352313498113207</v>
      </c>
      <c r="AH20" s="16">
        <v>-0.0727287660377359</v>
      </c>
      <c r="AI20" s="16">
        <f t="shared" si="3"/>
        <v>-1.9887038931035</v>
      </c>
    </row>
    <row r="21" spans="1:35">
      <c r="A21" s="18" t="s">
        <v>45</v>
      </c>
      <c r="B21" s="16">
        <v>0.0118564026646929</v>
      </c>
      <c r="C21" s="16">
        <v>-0.0531307512953367</v>
      </c>
      <c r="D21" s="16">
        <v>-0.279946792738275</v>
      </c>
      <c r="E21" s="16">
        <v>0.00789409984871407</v>
      </c>
      <c r="F21" s="16">
        <v>-0.270990473282443</v>
      </c>
      <c r="G21" s="16">
        <v>0.0120067366412213</v>
      </c>
      <c r="H21" s="16">
        <f t="shared" si="0"/>
        <v>-0.095385129693571</v>
      </c>
      <c r="K21" s="16">
        <v>-0.0174991481481482</v>
      </c>
      <c r="L21" s="16">
        <v>-0.0257529148148148</v>
      </c>
      <c r="M21" s="16">
        <v>-0.203618213740458</v>
      </c>
      <c r="N21" s="16">
        <v>-0.304754270992366</v>
      </c>
      <c r="O21" s="16">
        <v>0.0416035606060606</v>
      </c>
      <c r="P21" s="16">
        <v>-0.240882450757576</v>
      </c>
      <c r="Q21" s="16">
        <f t="shared" si="1"/>
        <v>-0.12515057297455</v>
      </c>
      <c r="T21" s="16">
        <v>0.216305167410714</v>
      </c>
      <c r="U21" s="16">
        <v>-0.0658258891369047</v>
      </c>
      <c r="V21" s="16">
        <v>0.038228745275888</v>
      </c>
      <c r="W21" s="16">
        <v>0.00917989417989423</v>
      </c>
      <c r="X21" s="16">
        <v>0.0354754647676162</v>
      </c>
      <c r="Y21" s="16">
        <v>0.0120757121439281</v>
      </c>
      <c r="Z21" s="16">
        <f t="shared" si="2"/>
        <v>0.0409065157735227</v>
      </c>
      <c r="AC21" s="16">
        <v>-3.00859014976958</v>
      </c>
      <c r="AD21" s="16">
        <v>-0.908773129800307</v>
      </c>
      <c r="AE21" s="16">
        <v>0.0598552342549923</v>
      </c>
      <c r="AF21" s="16">
        <v>-0.0328102764976959</v>
      </c>
      <c r="AG21" s="16">
        <v>0.0482334603773585</v>
      </c>
      <c r="AH21" s="16">
        <v>-0.00232333584905668</v>
      </c>
      <c r="AI21" s="16">
        <f t="shared" si="3"/>
        <v>-0.640734699547382</v>
      </c>
    </row>
    <row r="22" spans="1:35">
      <c r="A22" s="18" t="s">
        <v>46</v>
      </c>
      <c r="B22" s="16">
        <v>0.00121613619541088</v>
      </c>
      <c r="C22" s="16">
        <v>0.0335655070318284</v>
      </c>
      <c r="D22" s="16">
        <v>0.050543967473525</v>
      </c>
      <c r="E22" s="16">
        <v>0.000849470499243599</v>
      </c>
      <c r="F22" s="16">
        <v>0.00258023664122137</v>
      </c>
      <c r="G22" s="16">
        <v>0.0286030877862595</v>
      </c>
      <c r="H22" s="16">
        <f t="shared" si="0"/>
        <v>0.0195597342712481</v>
      </c>
      <c r="K22" s="16">
        <v>0.0455298</v>
      </c>
      <c r="L22" s="16">
        <v>0.0173429629629629</v>
      </c>
      <c r="M22" s="16">
        <v>-0.204991824427481</v>
      </c>
      <c r="N22" s="16">
        <v>0.011435786259542</v>
      </c>
      <c r="O22" s="16">
        <v>0.106005681818182</v>
      </c>
      <c r="P22" s="16">
        <v>-0.581322863636364</v>
      </c>
      <c r="Q22" s="16">
        <f t="shared" si="1"/>
        <v>-0.101000076170526</v>
      </c>
      <c r="T22" s="16">
        <v>0.250976264880952</v>
      </c>
      <c r="U22" s="16">
        <v>-0.473242395833333</v>
      </c>
      <c r="V22" s="16">
        <v>0.0573008314436885</v>
      </c>
      <c r="W22" s="16">
        <v>0.014207105064248</v>
      </c>
      <c r="X22" s="16">
        <v>-0.0173449625187406</v>
      </c>
      <c r="Y22" s="16">
        <v>0.011955059970015</v>
      </c>
      <c r="Z22" s="16">
        <f t="shared" si="2"/>
        <v>-0.026024682832195</v>
      </c>
      <c r="AC22" s="16">
        <v>-1.79596125192012</v>
      </c>
      <c r="AD22" s="16">
        <v>0.0594769585253456</v>
      </c>
      <c r="AE22" s="16">
        <v>0.0271344086021506</v>
      </c>
      <c r="AF22" s="16">
        <v>0.0114600614439324</v>
      </c>
      <c r="AG22" s="16">
        <v>0.0252801471698113</v>
      </c>
      <c r="AH22" s="16">
        <v>-0.0326586528301887</v>
      </c>
      <c r="AI22" s="16">
        <f t="shared" si="3"/>
        <v>-0.284211388168179</v>
      </c>
    </row>
    <row r="23" spans="1:35">
      <c r="A23" s="18" t="s">
        <v>47</v>
      </c>
      <c r="B23" s="16">
        <v>0.016957809030348</v>
      </c>
      <c r="C23" s="16">
        <v>0.0326105699481865</v>
      </c>
      <c r="D23" s="16">
        <v>0.0851222844175492</v>
      </c>
      <c r="E23" s="16">
        <v>0.00668835098335852</v>
      </c>
      <c r="F23" s="16">
        <v>0.0881948511450382</v>
      </c>
      <c r="G23" s="16">
        <v>0.204349465648855</v>
      </c>
      <c r="H23" s="16">
        <f t="shared" si="0"/>
        <v>0.0723205551955559</v>
      </c>
      <c r="K23" s="16">
        <v>0.0929637703703703</v>
      </c>
      <c r="L23" s="16">
        <v>0.0932074074074073</v>
      </c>
      <c r="M23" s="16">
        <v>0.111935729007634</v>
      </c>
      <c r="N23" s="16">
        <v>0.21735265648855</v>
      </c>
      <c r="O23" s="16">
        <v>-0.0808403446969697</v>
      </c>
      <c r="P23" s="16">
        <v>-0.0882283295454546</v>
      </c>
      <c r="Q23" s="16">
        <f t="shared" si="1"/>
        <v>0.0577318148385895</v>
      </c>
      <c r="T23" s="16">
        <v>-3.09470422619048</v>
      </c>
      <c r="U23" s="16">
        <v>0.111974542410714</v>
      </c>
      <c r="V23" s="16">
        <v>0.0943800944822373</v>
      </c>
      <c r="W23" s="16">
        <v>0.0238216175359032</v>
      </c>
      <c r="X23" s="16">
        <v>-0.320396428035982</v>
      </c>
      <c r="Y23" s="16">
        <v>0.043603448275862</v>
      </c>
      <c r="Z23" s="16">
        <f t="shared" si="2"/>
        <v>-0.52355349192029</v>
      </c>
      <c r="AC23" s="16">
        <v>0.0463018970814133</v>
      </c>
      <c r="AD23" s="16">
        <v>0.0557239516129033</v>
      </c>
      <c r="AE23" s="16">
        <v>0.0563087557603688</v>
      </c>
      <c r="AF23" s="16">
        <v>0.0892887864823349</v>
      </c>
      <c r="AG23" s="16">
        <v>0.167648720754717</v>
      </c>
      <c r="AH23" s="16">
        <v>0.0941253999999999</v>
      </c>
      <c r="AI23" s="16">
        <f t="shared" si="3"/>
        <v>0.0848995852819562</v>
      </c>
    </row>
    <row r="24" spans="1:35">
      <c r="A24" s="18" t="s">
        <v>48</v>
      </c>
      <c r="B24" s="16">
        <v>-0.0928334566987413</v>
      </c>
      <c r="C24" s="16">
        <v>-2.04007176905996</v>
      </c>
      <c r="D24" s="16">
        <v>0.688164164145234</v>
      </c>
      <c r="E24" s="16">
        <v>-0.108679266263237</v>
      </c>
      <c r="F24" s="16">
        <v>-0.328304267175574</v>
      </c>
      <c r="G24" s="16">
        <v>-2.41973032061069</v>
      </c>
      <c r="H24" s="16">
        <f t="shared" si="0"/>
        <v>-0.716909152610494</v>
      </c>
      <c r="K24" s="16">
        <v>-2.25676779259259</v>
      </c>
      <c r="L24" s="16">
        <v>-0.412772177777777</v>
      </c>
      <c r="M24" s="16">
        <v>-0.261814568702291</v>
      </c>
      <c r="N24" s="16">
        <v>-1.12810687022901</v>
      </c>
      <c r="O24" s="16">
        <v>-2.88622585227273</v>
      </c>
      <c r="P24" s="16">
        <v>-0.481634848484849</v>
      </c>
      <c r="Q24" s="16">
        <f t="shared" si="1"/>
        <v>-1.23788701834321</v>
      </c>
      <c r="T24" s="16">
        <v>-3.30687533854166</v>
      </c>
      <c r="U24" s="16">
        <v>-5.72447423735119</v>
      </c>
      <c r="V24" s="16">
        <v>-2.1226373733938</v>
      </c>
      <c r="W24" s="16">
        <v>-0.187586727135297</v>
      </c>
      <c r="X24" s="16">
        <v>-2.84257157796102</v>
      </c>
      <c r="Y24" s="16">
        <v>-0.224857571214393</v>
      </c>
      <c r="Z24" s="16">
        <f t="shared" si="2"/>
        <v>-2.40150047093289</v>
      </c>
      <c r="AC24" s="16">
        <v>-0.58989069124424</v>
      </c>
      <c r="AD24" s="16">
        <v>-2.26947288018433</v>
      </c>
      <c r="AE24" s="16">
        <v>-0.501752465437789</v>
      </c>
      <c r="AF24" s="16">
        <v>-0.325193333333334</v>
      </c>
      <c r="AG24" s="16">
        <v>-2.93395797358491</v>
      </c>
      <c r="AH24" s="16">
        <v>-0.247199660377358</v>
      </c>
      <c r="AI24" s="16">
        <f t="shared" si="3"/>
        <v>-1.14457783402699</v>
      </c>
    </row>
    <row r="25" spans="1:35">
      <c r="A25" s="18" t="s">
        <v>49</v>
      </c>
      <c r="B25" s="16">
        <v>0.0195321983715767</v>
      </c>
      <c r="C25" s="16">
        <v>-0.21580118430792</v>
      </c>
      <c r="D25" s="16">
        <v>-0.252654073373676</v>
      </c>
      <c r="E25" s="16">
        <v>0.0183933434190621</v>
      </c>
      <c r="F25" s="16">
        <v>0.0226708091603053</v>
      </c>
      <c r="G25" s="16">
        <v>0.237591824427481</v>
      </c>
      <c r="H25" s="16">
        <f t="shared" si="0"/>
        <v>-0.0283778470505285</v>
      </c>
      <c r="K25" s="16">
        <v>0.0173237037037037</v>
      </c>
      <c r="L25" s="16">
        <v>0.0308592592592593</v>
      </c>
      <c r="M25" s="16">
        <v>0.0457709923664123</v>
      </c>
      <c r="N25" s="16">
        <v>-0.0381386259541985</v>
      </c>
      <c r="O25" s="16">
        <v>-1.18948804924242</v>
      </c>
      <c r="P25" s="16">
        <v>-1.23711235606061</v>
      </c>
      <c r="Q25" s="16">
        <f t="shared" si="1"/>
        <v>-0.395130845987975</v>
      </c>
      <c r="T25" s="16">
        <v>-1.11507271577381</v>
      </c>
      <c r="U25" s="16">
        <v>-2.78278975074405</v>
      </c>
      <c r="V25" s="16">
        <v>-0.269964183673469</v>
      </c>
      <c r="W25" s="16">
        <v>-0.0184542328042328</v>
      </c>
      <c r="X25" s="16">
        <v>-0.0274634707646177</v>
      </c>
      <c r="Y25" s="16">
        <v>-0.00356671664167914</v>
      </c>
      <c r="Z25" s="16">
        <f t="shared" si="2"/>
        <v>-0.702885178400309</v>
      </c>
      <c r="AC25" s="16">
        <v>0.0279915514592934</v>
      </c>
      <c r="AD25" s="16">
        <v>0.135020967741936</v>
      </c>
      <c r="AE25" s="16">
        <v>0.0579957718894009</v>
      </c>
      <c r="AF25" s="16">
        <v>0.0286021505376344</v>
      </c>
      <c r="AG25" s="16">
        <v>0.138630509433962</v>
      </c>
      <c r="AH25" s="16">
        <v>-0.0918410679245283</v>
      </c>
      <c r="AI25" s="16">
        <f t="shared" si="3"/>
        <v>0.0493999805229497</v>
      </c>
    </row>
    <row r="26" spans="1:35">
      <c r="A26" s="18" t="s">
        <v>50</v>
      </c>
      <c r="B26" s="16">
        <v>0.012259807549963</v>
      </c>
      <c r="C26" s="16">
        <v>-0.151344970392302</v>
      </c>
      <c r="D26" s="16">
        <v>-0.509648037065053</v>
      </c>
      <c r="E26" s="16">
        <v>0.0245325264750378</v>
      </c>
      <c r="F26" s="16">
        <v>0.0342122671755725</v>
      </c>
      <c r="G26" s="16">
        <v>-0.244906442748092</v>
      </c>
      <c r="H26" s="16">
        <f t="shared" si="0"/>
        <v>-0.139149141500812</v>
      </c>
      <c r="K26" s="16">
        <v>-0.058117125925926</v>
      </c>
      <c r="L26" s="16">
        <v>0.0937903703703704</v>
      </c>
      <c r="M26" s="16">
        <v>0.0679776221374045</v>
      </c>
      <c r="N26" s="16">
        <v>0.200287996183206</v>
      </c>
      <c r="O26" s="16">
        <v>0.0319229848484849</v>
      </c>
      <c r="P26" s="16">
        <v>0.293845946969697</v>
      </c>
      <c r="Q26" s="16">
        <f t="shared" si="1"/>
        <v>0.104951299097206</v>
      </c>
      <c r="T26" s="16">
        <v>-1.96229718377976</v>
      </c>
      <c r="U26" s="16">
        <v>0.0107123772321428</v>
      </c>
      <c r="V26" s="16">
        <v>0.227752335600907</v>
      </c>
      <c r="W26" s="16">
        <v>0.0530758692365835</v>
      </c>
      <c r="X26" s="16">
        <v>-0.022263635682159</v>
      </c>
      <c r="Y26" s="16">
        <v>-0.0175740292353823</v>
      </c>
      <c r="Z26" s="16">
        <f t="shared" si="2"/>
        <v>-0.285099044437945</v>
      </c>
      <c r="AC26" s="16">
        <v>-0.026904930875576</v>
      </c>
      <c r="AD26" s="16">
        <v>0.107653659754224</v>
      </c>
      <c r="AE26" s="16">
        <v>0.0872921006144393</v>
      </c>
      <c r="AF26" s="16">
        <v>-0.0260269777265745</v>
      </c>
      <c r="AG26" s="16">
        <v>0.00666381132075466</v>
      </c>
      <c r="AH26" s="16">
        <v>0.0798477509433963</v>
      </c>
      <c r="AI26" s="16">
        <f t="shared" si="3"/>
        <v>0.0380875690051107</v>
      </c>
    </row>
    <row r="27" spans="1:35">
      <c r="A27" s="18" t="s">
        <v>51</v>
      </c>
      <c r="B27" s="16">
        <v>-0.285231032568465</v>
      </c>
      <c r="C27" s="16">
        <v>-4.03523884159882</v>
      </c>
      <c r="D27" s="16">
        <v>-10.4040438350983</v>
      </c>
      <c r="E27" s="16">
        <v>-0.265664145234492</v>
      </c>
      <c r="F27" s="16">
        <v>-2.06154582442748</v>
      </c>
      <c r="G27" s="16">
        <v>-8.75599326717557</v>
      </c>
      <c r="H27" s="16">
        <f t="shared" si="0"/>
        <v>-4.30128615768386</v>
      </c>
      <c r="K27" s="16">
        <v>-9.77026274074074</v>
      </c>
      <c r="L27" s="16">
        <v>-0.457520485185186</v>
      </c>
      <c r="M27" s="16">
        <v>-4.69799204580153</v>
      </c>
      <c r="N27" s="16">
        <v>-3.61819847709924</v>
      </c>
      <c r="O27" s="16">
        <v>-7.64339518939394</v>
      </c>
      <c r="P27" s="16">
        <v>-9.27142826893939</v>
      </c>
      <c r="Q27" s="16">
        <f t="shared" si="1"/>
        <v>-5.90979953452667</v>
      </c>
      <c r="T27" s="16">
        <v>-2.20340095982143</v>
      </c>
      <c r="U27" s="16">
        <v>-3.35466297619048</v>
      </c>
      <c r="V27" s="16">
        <v>-0.907932773998488</v>
      </c>
      <c r="W27" s="16">
        <v>-0.145305291005291</v>
      </c>
      <c r="X27" s="16">
        <v>0.0625742128935532</v>
      </c>
      <c r="Y27" s="16">
        <v>0.0138224737631184</v>
      </c>
      <c r="Z27" s="16">
        <f t="shared" si="2"/>
        <v>-1.0891508857265</v>
      </c>
      <c r="AC27" s="16">
        <v>-6.75235046850999</v>
      </c>
      <c r="AD27" s="16">
        <v>-8.04906790706606</v>
      </c>
      <c r="AE27" s="16">
        <v>-2.60253869047619</v>
      </c>
      <c r="AF27" s="16">
        <v>-0.266387354070661</v>
      </c>
      <c r="AG27" s="16">
        <v>-6.59340999245283</v>
      </c>
      <c r="AH27" s="16">
        <v>-6.78438132830189</v>
      </c>
      <c r="AI27" s="16">
        <f t="shared" si="3"/>
        <v>-5.17468929014627</v>
      </c>
    </row>
    <row r="28" spans="1:35">
      <c r="A28" s="18" t="s">
        <v>52</v>
      </c>
      <c r="B28" s="16">
        <v>-0.220546243523316</v>
      </c>
      <c r="C28" s="16">
        <v>-0.340638752775722</v>
      </c>
      <c r="D28" s="16">
        <v>-3.72126572239032</v>
      </c>
      <c r="E28" s="16">
        <v>0.0333237518910742</v>
      </c>
      <c r="F28" s="16">
        <v>-0.17853334351145</v>
      </c>
      <c r="G28" s="16">
        <v>-0.191618332061069</v>
      </c>
      <c r="H28" s="16">
        <f t="shared" si="0"/>
        <v>-0.769879773728467</v>
      </c>
      <c r="K28" s="16">
        <v>-1.04115445185185</v>
      </c>
      <c r="L28" s="16">
        <v>-5.20873798518519</v>
      </c>
      <c r="M28" s="16">
        <v>-0.625956072519083</v>
      </c>
      <c r="N28" s="16">
        <v>-3.40632847709923</v>
      </c>
      <c r="O28" s="16">
        <v>-0.316353977272728</v>
      </c>
      <c r="P28" s="16">
        <v>-4.3055936780303</v>
      </c>
      <c r="Q28" s="16">
        <f t="shared" si="1"/>
        <v>-2.48402077365973</v>
      </c>
      <c r="T28" s="16">
        <v>-0.720085100446428</v>
      </c>
      <c r="U28" s="16">
        <v>-5.24898404017857</v>
      </c>
      <c r="V28" s="16">
        <v>-0.244021916099775</v>
      </c>
      <c r="W28" s="16">
        <v>-1.94087761526833</v>
      </c>
      <c r="X28" s="16">
        <v>-0.342886461769115</v>
      </c>
      <c r="Y28" s="16">
        <v>-0.455032027736133</v>
      </c>
      <c r="Z28" s="16">
        <f t="shared" ref="Z28:Z38" si="4">AVERAGE(T28:Y28)</f>
        <v>-1.49198119358306</v>
      </c>
      <c r="AC28" s="16">
        <v>-0.425573049155145</v>
      </c>
      <c r="AD28" s="16">
        <v>-0.88159775345622</v>
      </c>
      <c r="AE28" s="16">
        <v>-5.85900682411674</v>
      </c>
      <c r="AF28" s="16">
        <v>-1.01275142473118</v>
      </c>
      <c r="AG28" s="16">
        <v>-10.8107556603774</v>
      </c>
      <c r="AH28" s="16">
        <v>0.12663523773585</v>
      </c>
      <c r="AI28" s="16">
        <f t="shared" si="3"/>
        <v>-3.1438415790168</v>
      </c>
    </row>
    <row r="29" spans="1:35">
      <c r="A29" s="18" t="s">
        <v>53</v>
      </c>
      <c r="B29" s="16">
        <v>-0.676267823834197</v>
      </c>
      <c r="C29" s="16">
        <v>0.0854054071058475</v>
      </c>
      <c r="D29" s="16">
        <v>-0.839174538577912</v>
      </c>
      <c r="E29" s="16">
        <v>0.0489470045385779</v>
      </c>
      <c r="F29" s="16">
        <v>-0.237045328244275</v>
      </c>
      <c r="G29" s="16">
        <v>0.0985259541984733</v>
      </c>
      <c r="H29" s="16">
        <f t="shared" ref="H29:H38" si="5">AVERAGE(B29:G29)</f>
        <v>-0.253268220802248</v>
      </c>
      <c r="K29" s="16">
        <v>-0.808546755555556</v>
      </c>
      <c r="L29" s="16">
        <v>-0.0428965407407407</v>
      </c>
      <c r="M29" s="16">
        <v>-0.992046183206107</v>
      </c>
      <c r="N29" s="16">
        <v>0.0739975954198474</v>
      </c>
      <c r="O29" s="16">
        <v>0.0294166666666666</v>
      </c>
      <c r="P29" s="16">
        <v>-0.0829299166666667</v>
      </c>
      <c r="Q29" s="16">
        <f t="shared" si="1"/>
        <v>-0.303834189013759</v>
      </c>
      <c r="T29" s="16">
        <v>0.138706101190476</v>
      </c>
      <c r="U29" s="16">
        <v>0.0168997544642857</v>
      </c>
      <c r="V29" s="16">
        <v>0.0431693083900226</v>
      </c>
      <c r="W29" s="16">
        <v>0.121751538170824</v>
      </c>
      <c r="X29" s="16">
        <v>0.111259329085457</v>
      </c>
      <c r="Y29" s="16">
        <v>0.111094628935532</v>
      </c>
      <c r="Z29" s="16">
        <f t="shared" si="4"/>
        <v>0.090480110039433</v>
      </c>
      <c r="AC29" s="16">
        <v>-1.24175001536098</v>
      </c>
      <c r="AD29" s="16">
        <v>-1.00476049923195</v>
      </c>
      <c r="AE29" s="16">
        <v>-2.72939798387097</v>
      </c>
      <c r="AF29" s="16">
        <v>0.173621897081413</v>
      </c>
      <c r="AG29" s="16">
        <v>-5.11851220754717</v>
      </c>
      <c r="AH29" s="16">
        <v>0.0375803773584906</v>
      </c>
      <c r="AI29" s="16">
        <f t="shared" si="3"/>
        <v>-1.64720307192853</v>
      </c>
    </row>
    <row r="30" spans="1:35">
      <c r="A30" s="18" t="s">
        <v>54</v>
      </c>
      <c r="B30" s="16">
        <v>0.0905153219837158</v>
      </c>
      <c r="C30" s="16">
        <v>-0.0524429126572909</v>
      </c>
      <c r="D30" s="16">
        <v>-0.0405146558245082</v>
      </c>
      <c r="E30" s="16">
        <v>0.0499759341906202</v>
      </c>
      <c r="F30" s="16">
        <v>-0.065225145038168</v>
      </c>
      <c r="G30" s="16">
        <v>0.0197381679389313</v>
      </c>
      <c r="H30" s="16">
        <f t="shared" si="5"/>
        <v>0.000341118432216698</v>
      </c>
      <c r="K30" s="16">
        <v>0.0505065481481481</v>
      </c>
      <c r="L30" s="16">
        <v>-0.322696659259259</v>
      </c>
      <c r="M30" s="16">
        <v>-0.102956290076336</v>
      </c>
      <c r="N30" s="16">
        <v>0.0116580152671756</v>
      </c>
      <c r="O30" s="16">
        <v>0.0169151515151515</v>
      </c>
      <c r="P30" s="16">
        <v>-0.00642348484848487</v>
      </c>
      <c r="Q30" s="16">
        <f t="shared" si="1"/>
        <v>-0.0588327865422675</v>
      </c>
      <c r="T30" s="16">
        <v>-0.0584135863095238</v>
      </c>
      <c r="U30" s="16">
        <v>0.0222570052083333</v>
      </c>
      <c r="V30" s="16">
        <v>0.0997353325774756</v>
      </c>
      <c r="W30" s="16">
        <v>-0.0657944066515495</v>
      </c>
      <c r="X30" s="16">
        <v>-0.0406361731634184</v>
      </c>
      <c r="Y30" s="16">
        <v>-0.117206221889056</v>
      </c>
      <c r="Z30" s="16">
        <f t="shared" si="4"/>
        <v>-0.0266763417046231</v>
      </c>
      <c r="AC30" s="16">
        <v>-0.187017784178187</v>
      </c>
      <c r="AD30" s="16">
        <v>-0.143128513824885</v>
      </c>
      <c r="AE30" s="16">
        <v>0.0800538172043011</v>
      </c>
      <c r="AF30" s="16">
        <v>0.0268414439324115</v>
      </c>
      <c r="AG30" s="16">
        <v>-0.168151113207547</v>
      </c>
      <c r="AH30" s="16">
        <v>-0.0507938830188679</v>
      </c>
      <c r="AI30" s="16">
        <f t="shared" si="3"/>
        <v>-0.0736993388487957</v>
      </c>
    </row>
    <row r="31" spans="1:35">
      <c r="A31" s="18" t="s">
        <v>55</v>
      </c>
      <c r="B31" s="16">
        <v>0.0068193449296817</v>
      </c>
      <c r="C31" s="16">
        <v>-0.23291488527017</v>
      </c>
      <c r="D31" s="16">
        <v>-0.373916724659607</v>
      </c>
      <c r="E31" s="16">
        <v>0.0407836611195158</v>
      </c>
      <c r="F31" s="16">
        <v>0.0489232748091602</v>
      </c>
      <c r="G31" s="16">
        <v>-0.00277988931297719</v>
      </c>
      <c r="H31" s="16">
        <f t="shared" si="5"/>
        <v>-0.0855142030640661</v>
      </c>
      <c r="K31" s="16">
        <v>0.0688924777777778</v>
      </c>
      <c r="L31" s="16">
        <v>-0.1332782</v>
      </c>
      <c r="M31" s="16">
        <v>-0.222339721374046</v>
      </c>
      <c r="N31" s="16">
        <v>-0.012328</v>
      </c>
      <c r="O31" s="16">
        <v>0.0446168446969697</v>
      </c>
      <c r="P31" s="16">
        <v>0.0691152386363636</v>
      </c>
      <c r="Q31" s="16">
        <f t="shared" si="1"/>
        <v>-0.0308868933771558</v>
      </c>
      <c r="T31" s="16">
        <v>-0.00164028645833331</v>
      </c>
      <c r="U31" s="16">
        <v>0.0024464285714285</v>
      </c>
      <c r="V31" s="16">
        <v>0.0936842441421014</v>
      </c>
      <c r="W31" s="16">
        <v>-0.545713915343915</v>
      </c>
      <c r="X31" s="16">
        <v>-0.345589100449775</v>
      </c>
      <c r="Y31" s="16">
        <v>-0.156795899550225</v>
      </c>
      <c r="Z31" s="16">
        <f t="shared" si="4"/>
        <v>-0.15893475484812</v>
      </c>
      <c r="AC31" s="16">
        <v>-0.884876071428571</v>
      </c>
      <c r="AD31" s="16">
        <v>-1.77637052995392</v>
      </c>
      <c r="AE31" s="16">
        <v>-0.0173874539170507</v>
      </c>
      <c r="AF31" s="16">
        <v>0.0300594585253457</v>
      </c>
      <c r="AG31" s="16">
        <v>-2.08528092075472</v>
      </c>
      <c r="AH31" s="16">
        <v>0.128231698113208</v>
      </c>
      <c r="AI31" s="16">
        <f t="shared" si="3"/>
        <v>-0.767603969902617</v>
      </c>
    </row>
    <row r="32" spans="1:35">
      <c r="A32" s="18" t="s">
        <v>56</v>
      </c>
      <c r="B32" s="16">
        <v>0.00867592153960024</v>
      </c>
      <c r="C32" s="16">
        <v>-0.115687945965951</v>
      </c>
      <c r="D32" s="16">
        <v>-0.321055945537065</v>
      </c>
      <c r="E32" s="16">
        <v>0.0603999508320726</v>
      </c>
      <c r="F32" s="16">
        <v>0.0235108091603053</v>
      </c>
      <c r="G32" s="16">
        <v>0.000621374045801539</v>
      </c>
      <c r="H32" s="16">
        <f t="shared" si="5"/>
        <v>-0.0572559726542061</v>
      </c>
      <c r="K32" s="16">
        <v>0.0447443407407407</v>
      </c>
      <c r="L32" s="16">
        <v>-0.0956728666666667</v>
      </c>
      <c r="M32" s="16">
        <v>0.0545839694656488</v>
      </c>
      <c r="N32" s="16">
        <v>-0.106067744274809</v>
      </c>
      <c r="O32" s="16">
        <v>0.0241537878787879</v>
      </c>
      <c r="P32" s="16">
        <v>0.0531346666666667</v>
      </c>
      <c r="Q32" s="16">
        <f t="shared" si="1"/>
        <v>-0.00418730769827193</v>
      </c>
      <c r="T32" s="16">
        <v>0.0255815811011905</v>
      </c>
      <c r="U32" s="16">
        <v>0.0392566964285714</v>
      </c>
      <c r="V32" s="16">
        <v>0.082162343159486</v>
      </c>
      <c r="W32" s="16">
        <v>-0.816944425547997</v>
      </c>
      <c r="X32" s="16">
        <v>-0.268216308095952</v>
      </c>
      <c r="Y32" s="16">
        <v>-0.112419126686657</v>
      </c>
      <c r="Z32" s="16">
        <f t="shared" si="4"/>
        <v>-0.175096539940226</v>
      </c>
      <c r="AC32" s="16">
        <v>-0.521377146697389</v>
      </c>
      <c r="AD32" s="16">
        <v>-0.61344571812596</v>
      </c>
      <c r="AE32" s="16">
        <v>0.094752688172043</v>
      </c>
      <c r="AF32" s="16">
        <v>-0.037172158218126</v>
      </c>
      <c r="AG32" s="16">
        <v>-0.0601001433962264</v>
      </c>
      <c r="AH32" s="16">
        <v>-0.197574120754717</v>
      </c>
      <c r="AI32" s="16">
        <f t="shared" si="3"/>
        <v>-0.222486099836729</v>
      </c>
    </row>
    <row r="33" spans="1:35">
      <c r="A33" s="18" t="s">
        <v>57</v>
      </c>
      <c r="B33" s="16">
        <v>0.115687968171725</v>
      </c>
      <c r="C33" s="16">
        <v>-0.545045766099186</v>
      </c>
      <c r="D33" s="16">
        <v>0.122498536308623</v>
      </c>
      <c r="E33" s="16">
        <v>-0.105011649016642</v>
      </c>
      <c r="F33" s="16">
        <v>0.0677206106870229</v>
      </c>
      <c r="G33" s="16">
        <v>0.13507293129771</v>
      </c>
      <c r="H33" s="16">
        <f t="shared" si="5"/>
        <v>-0.0348462281084578</v>
      </c>
      <c r="K33" s="16">
        <v>0.0953225296296296</v>
      </c>
      <c r="L33" s="16">
        <v>-4.83899293703704</v>
      </c>
      <c r="M33" s="16">
        <v>0.01382393129771</v>
      </c>
      <c r="N33" s="16">
        <v>0.165056980916031</v>
      </c>
      <c r="O33" s="16">
        <v>0.0685128787878788</v>
      </c>
      <c r="P33" s="16">
        <v>-3.23542847348485</v>
      </c>
      <c r="Q33" s="16">
        <f t="shared" si="1"/>
        <v>-1.28861751498177</v>
      </c>
      <c r="T33" s="16">
        <v>-0.202390022321429</v>
      </c>
      <c r="U33" s="16">
        <v>0.0951165997023808</v>
      </c>
      <c r="V33" s="16">
        <v>0.130978590325019</v>
      </c>
      <c r="W33" s="16">
        <v>-0.116638257747543</v>
      </c>
      <c r="X33" s="16">
        <v>0.0908517428785607</v>
      </c>
      <c r="Y33" s="16">
        <v>-1.36916999250375</v>
      </c>
      <c r="Z33" s="16">
        <f t="shared" si="4"/>
        <v>-0.22854188994446</v>
      </c>
      <c r="AC33" s="16">
        <v>-0.522560211213518</v>
      </c>
      <c r="AD33" s="16">
        <v>0.116284946236559</v>
      </c>
      <c r="AE33" s="16">
        <v>0.0884462365591398</v>
      </c>
      <c r="AF33" s="16">
        <v>-2.52273369815668</v>
      </c>
      <c r="AG33" s="16">
        <v>-0.416828588679245</v>
      </c>
      <c r="AH33" s="16">
        <v>-0.815388913207547</v>
      </c>
      <c r="AI33" s="16">
        <f t="shared" si="3"/>
        <v>-0.678796704743549</v>
      </c>
    </row>
    <row r="34" spans="1:35">
      <c r="A34" s="18" t="s">
        <v>58</v>
      </c>
      <c r="B34" s="16">
        <v>-0.0580921095484826</v>
      </c>
      <c r="C34" s="16">
        <v>0.175221528497409</v>
      </c>
      <c r="D34" s="16">
        <v>0.0935138502269289</v>
      </c>
      <c r="E34" s="16">
        <v>-1.96991360438729</v>
      </c>
      <c r="F34" s="16">
        <v>0.0874691564885496</v>
      </c>
      <c r="G34" s="16">
        <v>-0.128967007633588</v>
      </c>
      <c r="H34" s="16">
        <f t="shared" si="5"/>
        <v>-0.300128031059412</v>
      </c>
      <c r="K34" s="16">
        <v>0.0689683407407407</v>
      </c>
      <c r="L34" s="16">
        <v>-3.17320489259259</v>
      </c>
      <c r="M34" s="16">
        <v>-0.36028427480916</v>
      </c>
      <c r="N34" s="16">
        <v>0.0653413778625954</v>
      </c>
      <c r="O34" s="16">
        <v>0.0647143939393939</v>
      </c>
      <c r="P34" s="16">
        <v>-2.81742059848485</v>
      </c>
      <c r="Q34" s="16">
        <f t="shared" si="1"/>
        <v>-1.02531427555731</v>
      </c>
      <c r="T34" s="16">
        <v>-2.63408508556548</v>
      </c>
      <c r="U34" s="16">
        <v>-0.410350037202381</v>
      </c>
      <c r="V34" s="16">
        <v>0.0332931103552532</v>
      </c>
      <c r="W34" s="16">
        <v>-0.0561245200302343</v>
      </c>
      <c r="X34" s="16">
        <v>0.0946213793103448</v>
      </c>
      <c r="Y34" s="16">
        <v>-2.60109174287856</v>
      </c>
      <c r="Z34" s="16">
        <f t="shared" si="4"/>
        <v>-0.928956149335176</v>
      </c>
      <c r="AC34" s="16">
        <v>-0.252884385560676</v>
      </c>
      <c r="AD34" s="16">
        <v>0.0144269815668203</v>
      </c>
      <c r="AE34" s="16">
        <v>0.111482718894009</v>
      </c>
      <c r="AF34" s="16">
        <v>-2.37997591781874</v>
      </c>
      <c r="AG34" s="16">
        <v>-0.0846669849056603</v>
      </c>
      <c r="AH34" s="16">
        <v>-2.83381025660377</v>
      </c>
      <c r="AI34" s="16">
        <f t="shared" si="3"/>
        <v>-0.904237974071337</v>
      </c>
    </row>
    <row r="35" spans="1:35">
      <c r="A35" s="18" t="s">
        <v>59</v>
      </c>
      <c r="B35" s="16">
        <v>0.0154287009622502</v>
      </c>
      <c r="C35" s="16">
        <v>0.120168797187269</v>
      </c>
      <c r="D35" s="16">
        <v>0.170793082450832</v>
      </c>
      <c r="E35" s="16">
        <v>-2.31223392965204</v>
      </c>
      <c r="F35" s="16">
        <v>-0.103935870229008</v>
      </c>
      <c r="G35" s="16">
        <v>-1.58747532061069</v>
      </c>
      <c r="H35" s="16">
        <f t="shared" si="5"/>
        <v>-0.616209089981898</v>
      </c>
      <c r="K35" s="16">
        <v>-0.0969851111111111</v>
      </c>
      <c r="L35" s="16">
        <v>-1.7743262037037</v>
      </c>
      <c r="M35" s="16">
        <v>-0.128315358778626</v>
      </c>
      <c r="N35" s="16">
        <v>0.0252763167938931</v>
      </c>
      <c r="O35" s="16">
        <v>0.117397621212121</v>
      </c>
      <c r="P35" s="16">
        <v>-0.788234356060606</v>
      </c>
      <c r="Q35" s="16">
        <f t="shared" si="1"/>
        <v>-0.440864515274671</v>
      </c>
      <c r="T35" s="16">
        <v>-1.80871590401786</v>
      </c>
      <c r="U35" s="16">
        <v>-0.978821138392857</v>
      </c>
      <c r="V35" s="16">
        <v>-0.38364753968254</v>
      </c>
      <c r="W35" s="16">
        <v>0.0844169274376417</v>
      </c>
      <c r="X35" s="16">
        <v>0.0817862856071964</v>
      </c>
      <c r="Y35" s="16">
        <v>-2.31482907046477</v>
      </c>
      <c r="Z35" s="16">
        <f t="shared" si="4"/>
        <v>-0.886635073252197</v>
      </c>
      <c r="AC35" s="16">
        <v>0.0381697657450077</v>
      </c>
      <c r="AD35" s="16">
        <v>0.0439319969278034</v>
      </c>
      <c r="AE35" s="16">
        <v>0.124683214285714</v>
      </c>
      <c r="AF35" s="16">
        <v>-0.507390737327189</v>
      </c>
      <c r="AG35" s="16">
        <v>0.031697158490566</v>
      </c>
      <c r="AH35" s="16">
        <v>-2.36308905660377</v>
      </c>
      <c r="AI35" s="16">
        <f t="shared" si="3"/>
        <v>-0.438666276413645</v>
      </c>
    </row>
    <row r="36" spans="1:35">
      <c r="A36" s="18" t="s">
        <v>60</v>
      </c>
      <c r="B36" s="16">
        <v>-0.0668084715025906</v>
      </c>
      <c r="C36" s="16">
        <v>0.0430434678016285</v>
      </c>
      <c r="D36" s="16">
        <v>0.0448168267776097</v>
      </c>
      <c r="E36" s="16">
        <v>-0.328699644478063</v>
      </c>
      <c r="F36" s="16">
        <v>-0.21244851908397</v>
      </c>
      <c r="G36" s="16">
        <v>-1.42872984732824</v>
      </c>
      <c r="H36" s="16">
        <f t="shared" si="5"/>
        <v>-0.324804364635605</v>
      </c>
      <c r="K36" s="16">
        <v>-0.257981940740741</v>
      </c>
      <c r="L36" s="16">
        <v>-0.1842397</v>
      </c>
      <c r="M36" s="16">
        <v>0.0750781717557252</v>
      </c>
      <c r="N36" s="16">
        <v>0.00862640839694657</v>
      </c>
      <c r="O36" s="16">
        <v>-0.279149166666667</v>
      </c>
      <c r="P36" s="16">
        <v>-0.730908261363636</v>
      </c>
      <c r="Q36" s="16">
        <f t="shared" si="1"/>
        <v>-0.228095748103062</v>
      </c>
      <c r="T36" s="16">
        <v>-0.0731909412202382</v>
      </c>
      <c r="U36" s="16">
        <v>-0.238400476190476</v>
      </c>
      <c r="V36" s="16">
        <v>-0.240733499622071</v>
      </c>
      <c r="W36" s="16">
        <v>-0.353882267573696</v>
      </c>
      <c r="X36" s="16">
        <v>-0.995203354572714</v>
      </c>
      <c r="Y36" s="16">
        <v>-0.210790172413793</v>
      </c>
      <c r="Z36" s="16">
        <f t="shared" si="4"/>
        <v>-0.352033451932165</v>
      </c>
      <c r="AC36" s="16">
        <v>0.0615283179723502</v>
      </c>
      <c r="AD36" s="16">
        <v>0.012117346390169</v>
      </c>
      <c r="AE36" s="16">
        <v>-0.009578990015361</v>
      </c>
      <c r="AF36" s="16">
        <v>-0.0386365629800308</v>
      </c>
      <c r="AG36" s="16">
        <v>-0.32995019245283</v>
      </c>
      <c r="AH36" s="16">
        <v>-0.245566218867925</v>
      </c>
      <c r="AI36" s="16">
        <f t="shared" si="3"/>
        <v>-0.0916810499922712</v>
      </c>
    </row>
    <row r="37" spans="1:35">
      <c r="A37" s="18" t="s">
        <v>61</v>
      </c>
      <c r="B37" s="16">
        <v>-3.77573804219097</v>
      </c>
      <c r="C37" s="16">
        <v>-5.46058751295337</v>
      </c>
      <c r="D37" s="16">
        <v>-3.14690986006051</v>
      </c>
      <c r="E37" s="16">
        <v>-1.24575914901664</v>
      </c>
      <c r="F37" s="16">
        <v>-0.33405606870229</v>
      </c>
      <c r="G37" s="16">
        <v>-0.269567969465649</v>
      </c>
      <c r="H37" s="16">
        <f t="shared" si="5"/>
        <v>-2.37210310039824</v>
      </c>
      <c r="K37" s="16">
        <v>-3.8327422962963</v>
      </c>
      <c r="L37" s="16">
        <v>-0.257913451851852</v>
      </c>
      <c r="M37" s="16">
        <v>-0.456301538167939</v>
      </c>
      <c r="N37" s="16">
        <v>-1.7304196870229</v>
      </c>
      <c r="O37" s="16">
        <v>-0.957228643939394</v>
      </c>
      <c r="P37" s="16">
        <v>-0.0575857272727273</v>
      </c>
      <c r="Q37" s="16">
        <f t="shared" si="1"/>
        <v>-1.21536522409185</v>
      </c>
      <c r="T37" s="16">
        <v>-3.98992111979167</v>
      </c>
      <c r="U37" s="16">
        <v>-0.480079029017855</v>
      </c>
      <c r="V37" s="16">
        <v>-7.39466887377173</v>
      </c>
      <c r="W37" s="16">
        <v>-2.15701582010582</v>
      </c>
      <c r="X37" s="16">
        <v>-1.0073529910045</v>
      </c>
      <c r="Y37" s="16">
        <v>-3.48436786731634</v>
      </c>
      <c r="Z37" s="16">
        <f t="shared" si="4"/>
        <v>-3.08556761683465</v>
      </c>
      <c r="AC37" s="16">
        <v>-4.95291497311828</v>
      </c>
      <c r="AD37" s="16">
        <v>-2.32529316820277</v>
      </c>
      <c r="AE37" s="16">
        <v>-3.16773733870967</v>
      </c>
      <c r="AF37" s="16">
        <v>-2.43041858294931</v>
      </c>
      <c r="AG37" s="16">
        <v>-4.07978181132076</v>
      </c>
      <c r="AH37" s="16">
        <v>-1.45744610943396</v>
      </c>
      <c r="AI37" s="16">
        <f t="shared" si="3"/>
        <v>-3.06893199728913</v>
      </c>
    </row>
    <row r="38" spans="1:35">
      <c r="A38" s="19" t="s">
        <v>62</v>
      </c>
      <c r="B38" s="16">
        <f t="shared" ref="B38:G38" si="6">SUM(B2:B37)</f>
        <v>-31.7821832975574</v>
      </c>
      <c r="C38" s="16">
        <f t="shared" si="6"/>
        <v>-33.7248062213176</v>
      </c>
      <c r="D38" s="16">
        <f t="shared" si="6"/>
        <v>-58.9673189863842</v>
      </c>
      <c r="E38" s="16">
        <f t="shared" si="6"/>
        <v>-33.0049805786687</v>
      </c>
      <c r="F38" s="16">
        <f t="shared" si="6"/>
        <v>-32.780753721374</v>
      </c>
      <c r="G38" s="16">
        <f t="shared" si="6"/>
        <v>-29.0664983015267</v>
      </c>
      <c r="H38" s="16">
        <f t="shared" si="5"/>
        <v>-36.5544235178048</v>
      </c>
      <c r="K38" s="16">
        <f>SUM(K2:K37)</f>
        <v>-56.8419381555555</v>
      </c>
      <c r="L38" s="16">
        <f t="shared" ref="L38:Q38" si="7">SUM(L2:L37)</f>
        <v>-44.1974879</v>
      </c>
      <c r="M38" s="16">
        <f t="shared" si="7"/>
        <v>-35.9160770687023</v>
      </c>
      <c r="N38" s="16">
        <f t="shared" si="7"/>
        <v>-27.0461314122137</v>
      </c>
      <c r="O38" s="16">
        <f t="shared" si="7"/>
        <v>-28.3552263522727</v>
      </c>
      <c r="P38" s="16">
        <f t="shared" si="7"/>
        <v>-53.6674299469697</v>
      </c>
      <c r="Q38" s="16">
        <f t="shared" si="7"/>
        <v>-41.004048472619</v>
      </c>
      <c r="T38" s="16">
        <f t="shared" ref="T38:Y38" si="8">SUM(T2:T37)</f>
        <v>-38.6643242782738</v>
      </c>
      <c r="U38" s="16">
        <f t="shared" si="8"/>
        <v>-27.367745561756</v>
      </c>
      <c r="V38" s="16">
        <f t="shared" si="8"/>
        <v>-30.1864398337113</v>
      </c>
      <c r="W38" s="16">
        <f t="shared" si="8"/>
        <v>-38.1472202305366</v>
      </c>
      <c r="X38" s="16">
        <f t="shared" si="8"/>
        <v>-46.9595041154423</v>
      </c>
      <c r="Y38" s="16">
        <f t="shared" si="8"/>
        <v>-41.5419838268366</v>
      </c>
      <c r="Z38" s="16">
        <f t="shared" si="4"/>
        <v>-37.1445363077594</v>
      </c>
      <c r="AC38" s="16">
        <f t="shared" ref="AC38:AH38" si="9">SUM(AC2:AC37)</f>
        <v>-53.0593872196621</v>
      </c>
      <c r="AD38" s="16">
        <f t="shared" si="9"/>
        <v>-36.5046904915514</v>
      </c>
      <c r="AE38" s="16">
        <f t="shared" si="9"/>
        <v>-59.0877646428571</v>
      </c>
      <c r="AF38" s="16">
        <f t="shared" si="9"/>
        <v>-43.140727250384</v>
      </c>
      <c r="AG38" s="16">
        <f t="shared" si="9"/>
        <v>-54.5704188603774</v>
      </c>
      <c r="AH38" s="16">
        <f t="shared" si="9"/>
        <v>-27.1877643471698</v>
      </c>
      <c r="AI38" s="16">
        <f t="shared" si="3"/>
        <v>-45.5917921353336</v>
      </c>
    </row>
    <row r="39" spans="2:3">
      <c r="B39" s="20"/>
      <c r="C39" s="20"/>
    </row>
    <row r="40" spans="1:4">
      <c r="A40" s="20"/>
      <c r="B40" s="20"/>
      <c r="C40" s="20"/>
      <c r="D40" s="20"/>
    </row>
    <row r="41" spans="1:17">
      <c r="A41" s="20"/>
      <c r="B41" s="20"/>
      <c r="C41" s="20"/>
      <c r="K41" s="17"/>
      <c r="L41" s="17"/>
      <c r="M41" s="17"/>
      <c r="N41" s="17"/>
      <c r="O41" s="17"/>
      <c r="P41" s="17"/>
      <c r="Q41" s="17"/>
    </row>
    <row r="42" spans="1:10">
      <c r="A42" s="20"/>
      <c r="B42" s="20"/>
      <c r="C42" s="20"/>
      <c r="J42" s="20"/>
    </row>
    <row r="43" spans="1:10">
      <c r="A43" s="20"/>
      <c r="B43" s="20"/>
      <c r="C43" s="20"/>
      <c r="H43" s="20"/>
      <c r="J43" s="20"/>
    </row>
    <row r="44" spans="1:10">
      <c r="A44" s="20"/>
      <c r="B44" s="20"/>
      <c r="C44" s="20"/>
      <c r="H44" s="20"/>
      <c r="J44" s="20"/>
    </row>
    <row r="45" spans="1:10">
      <c r="A45" s="20"/>
      <c r="B45" s="20"/>
      <c r="C45" s="20"/>
      <c r="H45" s="20"/>
      <c r="J45" s="20"/>
    </row>
    <row r="46" spans="1:16">
      <c r="A46" s="20"/>
      <c r="B46" s="20"/>
      <c r="C46" s="20"/>
      <c r="H46" s="20"/>
      <c r="J46" s="20"/>
      <c r="K46" s="17"/>
      <c r="L46" s="17"/>
      <c r="M46" s="17"/>
      <c r="N46" s="17"/>
      <c r="O46" s="17"/>
      <c r="P46" s="17"/>
    </row>
    <row r="47" spans="1:10">
      <c r="A47" s="20"/>
      <c r="B47" s="20"/>
      <c r="C47" s="20"/>
      <c r="H47" s="20"/>
      <c r="J47" s="20"/>
    </row>
    <row r="48" spans="1:10">
      <c r="A48" s="20"/>
      <c r="B48" s="20"/>
      <c r="C48" s="20"/>
      <c r="H48" s="20"/>
      <c r="J48" s="20"/>
    </row>
    <row r="49" spans="1:10">
      <c r="A49" s="20"/>
      <c r="B49" s="20"/>
      <c r="C49" s="20"/>
      <c r="H49" s="20"/>
      <c r="J49" s="20"/>
    </row>
    <row r="50" spans="1:10">
      <c r="A50" s="20"/>
      <c r="B50" s="20"/>
      <c r="C50" s="20"/>
      <c r="H50" s="20"/>
      <c r="J50" s="20"/>
    </row>
    <row r="51" spans="1:10">
      <c r="A51" s="20"/>
      <c r="B51" s="20"/>
      <c r="C51" s="20"/>
      <c r="H51" s="20"/>
      <c r="J51" s="20"/>
    </row>
    <row r="52" spans="1:10">
      <c r="A52" s="20"/>
      <c r="B52" s="20"/>
      <c r="C52" s="20"/>
      <c r="D52" s="20"/>
      <c r="H52" s="20"/>
      <c r="J52" s="20"/>
    </row>
    <row r="53" spans="1:10">
      <c r="A53" s="20"/>
      <c r="B53" s="20"/>
      <c r="C53" s="20"/>
      <c r="H53" s="20"/>
      <c r="J53" s="20"/>
    </row>
    <row r="54" spans="1:10">
      <c r="A54" s="20"/>
      <c r="B54" s="20"/>
      <c r="C54" s="20"/>
      <c r="H54" s="20"/>
      <c r="J54" s="20"/>
    </row>
    <row r="55" spans="1:10">
      <c r="A55" s="20"/>
      <c r="B55" s="20"/>
      <c r="C55" s="20"/>
      <c r="H55" s="20"/>
      <c r="J55" s="20"/>
    </row>
    <row r="56" spans="1:10">
      <c r="A56" s="20"/>
      <c r="B56" s="20"/>
      <c r="C56" s="20"/>
      <c r="H56" s="20"/>
      <c r="J56" s="20"/>
    </row>
    <row r="57" spans="1:10">
      <c r="A57" s="20"/>
      <c r="B57" s="20"/>
      <c r="C57" s="20"/>
      <c r="H57" s="20"/>
      <c r="J57" s="20"/>
    </row>
    <row r="58" spans="1:10">
      <c r="A58" s="20"/>
      <c r="B58" s="20"/>
      <c r="C58" s="20"/>
      <c r="H58" s="20"/>
      <c r="J58" s="20"/>
    </row>
    <row r="59" spans="1:10">
      <c r="A59" s="20"/>
      <c r="B59" s="20"/>
      <c r="C59" s="20"/>
      <c r="H59" s="20"/>
      <c r="J59" s="20"/>
    </row>
    <row r="60" spans="1:10">
      <c r="A60" s="20"/>
      <c r="B60" s="20"/>
      <c r="C60" s="20"/>
      <c r="H60" s="20"/>
      <c r="J60" s="20"/>
    </row>
    <row r="61" spans="1:10">
      <c r="A61" s="20"/>
      <c r="B61" s="20"/>
      <c r="C61" s="20"/>
      <c r="H61" s="20"/>
      <c r="J61" s="20"/>
    </row>
    <row r="62" spans="1:10">
      <c r="A62" s="20"/>
      <c r="B62" s="20"/>
      <c r="C62" s="20"/>
      <c r="H62" s="20"/>
      <c r="J62" s="20"/>
    </row>
    <row r="63" spans="1:10">
      <c r="A63" s="20"/>
      <c r="B63" s="20"/>
      <c r="C63" s="20"/>
      <c r="H63" s="20"/>
      <c r="J63" s="20"/>
    </row>
    <row r="64" spans="1:10">
      <c r="A64" s="20"/>
      <c r="B64" s="20"/>
      <c r="C64" s="20"/>
      <c r="D64" s="20"/>
      <c r="H64" s="20"/>
      <c r="J64" s="20"/>
    </row>
    <row r="65" spans="1:10">
      <c r="A65" s="20"/>
      <c r="B65" s="20"/>
      <c r="C65" s="20"/>
      <c r="H65" s="20"/>
      <c r="J65" s="20"/>
    </row>
    <row r="66" spans="1:10">
      <c r="A66" s="20"/>
      <c r="B66" s="20"/>
      <c r="C66" s="20"/>
      <c r="H66" s="20"/>
      <c r="J66" s="20"/>
    </row>
    <row r="67" spans="1:10">
      <c r="A67" s="20"/>
      <c r="B67" s="20"/>
      <c r="C67" s="20"/>
      <c r="H67" s="20"/>
      <c r="J67" s="20"/>
    </row>
    <row r="68" spans="1:10">
      <c r="A68" s="20"/>
      <c r="B68" s="20"/>
      <c r="C68" s="20"/>
      <c r="H68" s="20"/>
      <c r="J68" s="20"/>
    </row>
    <row r="69" spans="1:10">
      <c r="A69" s="20"/>
      <c r="B69" s="20"/>
      <c r="C69" s="20"/>
      <c r="H69" s="20"/>
      <c r="J69" s="20"/>
    </row>
    <row r="70" spans="1:10">
      <c r="A70" s="20"/>
      <c r="B70" s="20"/>
      <c r="C70" s="20"/>
      <c r="H70" s="20"/>
      <c r="J70" s="20"/>
    </row>
    <row r="71" spans="1:10">
      <c r="A71" s="20"/>
      <c r="B71" s="20"/>
      <c r="C71" s="20"/>
      <c r="H71" s="20"/>
      <c r="J71" s="20"/>
    </row>
    <row r="72" spans="1:10">
      <c r="A72" s="20"/>
      <c r="B72" s="20"/>
      <c r="C72" s="20"/>
      <c r="H72" s="20"/>
      <c r="J72" s="20"/>
    </row>
    <row r="73" spans="1:10">
      <c r="A73" s="20"/>
      <c r="B73" s="20"/>
      <c r="C73" s="20"/>
      <c r="H73" s="20"/>
      <c r="J73" s="20"/>
    </row>
    <row r="74" spans="1:10">
      <c r="A74" s="20"/>
      <c r="B74" s="20"/>
      <c r="C74" s="20"/>
      <c r="H74" s="20"/>
      <c r="J74" s="20"/>
    </row>
    <row r="75" spans="1:10">
      <c r="A75" s="20"/>
      <c r="B75" s="20"/>
      <c r="C75" s="20"/>
      <c r="H75" s="20"/>
      <c r="J75" s="20"/>
    </row>
    <row r="76" spans="8:10">
      <c r="H76" s="20"/>
      <c r="J76" s="20"/>
    </row>
    <row r="77" spans="8:10">
      <c r="H77" s="20"/>
      <c r="J77" s="20"/>
    </row>
    <row r="78" spans="8:10">
      <c r="H78" s="20"/>
      <c r="J78" s="20"/>
    </row>
  </sheetData>
  <pageMargins left="0.75" right="0.75" top="1" bottom="1" header="0.5" footer="0.5"/>
  <headerFooter/>
  <ignoredErrors>
    <ignoredError sqref="H2:H3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zoomScale="70" zoomScaleNormal="70" workbookViewId="0">
      <selection activeCell="J30" sqref="J30"/>
    </sheetView>
  </sheetViews>
  <sheetFormatPr defaultColWidth="9" defaultRowHeight="18"/>
  <cols>
    <col min="1" max="1" width="19.5" style="12" customWidth="1"/>
    <col min="2" max="2" width="22.5" style="1" customWidth="1"/>
    <col min="3" max="4" width="22.75" style="1" customWidth="1"/>
    <col min="5" max="5" width="23.125" style="1" customWidth="1"/>
    <col min="6" max="6" width="22.75" style="1" customWidth="1"/>
    <col min="7" max="7" width="23.125" style="1" customWidth="1"/>
    <col min="8" max="8" width="13.75" style="1" customWidth="1"/>
    <col min="9" max="9" width="9" style="1"/>
    <col min="10" max="10" width="18.625" style="1" customWidth="1"/>
    <col min="11" max="12" width="18.875" style="1" customWidth="1"/>
    <col min="13" max="13" width="19.125" style="1" customWidth="1"/>
    <col min="14" max="14" width="18.875" style="1" customWidth="1"/>
    <col min="15" max="15" width="19.125" style="1" customWidth="1"/>
    <col min="16" max="16" width="13.75" style="1" customWidth="1"/>
    <col min="17" max="16384" width="9" style="1"/>
  </cols>
  <sheetData>
    <row r="1" spans="1:16">
      <c r="A1" s="4" t="s">
        <v>0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7</v>
      </c>
      <c r="I1" s="4"/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7</v>
      </c>
    </row>
    <row r="2" spans="1:16">
      <c r="A2" s="12" t="s">
        <v>69</v>
      </c>
      <c r="B2" s="1">
        <v>-2.80679819537659</v>
      </c>
      <c r="C2" s="1">
        <v>-0.0994297458893896</v>
      </c>
      <c r="D2" s="1">
        <v>0.251048345892991</v>
      </c>
      <c r="E2" s="1">
        <v>2.32472253202713</v>
      </c>
      <c r="F2" s="1">
        <v>-1.57809752050708</v>
      </c>
      <c r="G2" s="1">
        <v>-0.203656950672648</v>
      </c>
      <c r="H2" s="1">
        <f>AVERAGE(B2:G2)</f>
        <v>-0.352035255754264</v>
      </c>
      <c r="J2" s="1">
        <v>-1.11900100230415</v>
      </c>
      <c r="K2" s="1">
        <v>4.17220507680492</v>
      </c>
      <c r="L2" s="1">
        <v>3.05524238479263</v>
      </c>
      <c r="M2" s="1">
        <v>-0.767481167434718</v>
      </c>
      <c r="N2" s="1">
        <v>-5.3526898490566</v>
      </c>
      <c r="O2" s="1">
        <v>1.60055180754717</v>
      </c>
      <c r="P2" s="1">
        <f>AVERAGE(J2:O2)</f>
        <v>0.264804541724875</v>
      </c>
    </row>
    <row r="3" spans="1:16">
      <c r="A3" s="12" t="s">
        <v>70</v>
      </c>
      <c r="B3" s="1">
        <v>-0.0158757829977629</v>
      </c>
      <c r="C3" s="1">
        <v>0.0401666666666666</v>
      </c>
      <c r="D3" s="1">
        <v>0.102311872645064</v>
      </c>
      <c r="E3" s="1">
        <v>-2.50676335342879</v>
      </c>
      <c r="F3" s="1">
        <v>-1.55702833333333</v>
      </c>
      <c r="G3" s="1">
        <v>0.0033288490284006</v>
      </c>
      <c r="H3" s="1">
        <f>AVERAGE(B3:G3)</f>
        <v>-0.655643346903292</v>
      </c>
      <c r="J3" s="1">
        <v>-0.0457423003072197</v>
      </c>
      <c r="K3" s="1">
        <v>-0.517170215053763</v>
      </c>
      <c r="L3" s="1">
        <v>-3.73711282258065</v>
      </c>
      <c r="M3" s="1">
        <v>-0.121897169738863</v>
      </c>
      <c r="N3" s="1">
        <v>-2.92664495471698</v>
      </c>
      <c r="O3" s="1">
        <v>-1.22513374716981</v>
      </c>
      <c r="P3" s="1">
        <f>AVERAGE(J3:O3)</f>
        <v>-1.42895020159455</v>
      </c>
    </row>
    <row r="4" spans="1:16">
      <c r="A4" s="12" t="s">
        <v>71</v>
      </c>
      <c r="B4" s="1">
        <v>-1.12415551826995</v>
      </c>
      <c r="C4" s="1">
        <v>-3.73872266816143</v>
      </c>
      <c r="D4" s="1">
        <v>-10.4239576676714</v>
      </c>
      <c r="E4" s="1">
        <v>-2.69311986812358</v>
      </c>
      <c r="F4" s="1">
        <v>-7.80408941834452</v>
      </c>
      <c r="G4" s="1">
        <v>-0.13527503736921</v>
      </c>
      <c r="H4" s="1">
        <f>AVERAGE(B4:G4)</f>
        <v>-4.31988669632335</v>
      </c>
      <c r="J4" s="1">
        <v>-2.40596677803379</v>
      </c>
      <c r="K4" s="1">
        <v>-1.28294607526882</v>
      </c>
      <c r="L4" s="1">
        <v>-6.9102219546851</v>
      </c>
      <c r="M4" s="1">
        <v>-4.17798105990784</v>
      </c>
      <c r="N4" s="1">
        <v>-8.36575499245283</v>
      </c>
      <c r="O4" s="1">
        <v>-11.2571833660377</v>
      </c>
      <c r="P4" s="1">
        <f>AVERAGE(J4:O4)</f>
        <v>-5.73334237106435</v>
      </c>
    </row>
    <row r="5" spans="1:16">
      <c r="A5" s="12" t="s">
        <v>72</v>
      </c>
      <c r="B5" s="1">
        <v>0.476311521252796</v>
      </c>
      <c r="C5" s="1">
        <v>1.70215220104634</v>
      </c>
      <c r="D5" s="1">
        <v>-0.105363952524493</v>
      </c>
      <c r="E5" s="1">
        <v>0.702252370007535</v>
      </c>
      <c r="F5" s="1">
        <v>1.62300088739746</v>
      </c>
      <c r="G5" s="1">
        <v>0.167399850523167</v>
      </c>
      <c r="H5" s="1">
        <f>AVERAGE(B5:G5)</f>
        <v>0.760958812950467</v>
      </c>
      <c r="J5" s="1">
        <v>-0.357812004608295</v>
      </c>
      <c r="K5" s="1">
        <v>-0.0196077534562212</v>
      </c>
      <c r="L5" s="1">
        <v>0.181673041474654</v>
      </c>
      <c r="M5" s="1">
        <v>0.0484851728110599</v>
      </c>
      <c r="N5" s="1">
        <v>-0.179626849056604</v>
      </c>
      <c r="O5" s="1">
        <v>-0.935677584905661</v>
      </c>
      <c r="P5" s="1">
        <f>AVERAGE(J5:O5)</f>
        <v>-0.210427662956844</v>
      </c>
    </row>
    <row r="6" spans="1:16">
      <c r="A6" s="12" t="s">
        <v>73</v>
      </c>
      <c r="B6" s="1">
        <v>-0.217725104399703</v>
      </c>
      <c r="C6" s="1">
        <v>-0.560238729446935</v>
      </c>
      <c r="D6" s="1">
        <v>-4.41108584400904</v>
      </c>
      <c r="E6" s="1">
        <v>-3.91201857573474</v>
      </c>
      <c r="F6" s="1">
        <v>-1.0320268530947</v>
      </c>
      <c r="G6" s="1">
        <v>-0.110775784753364</v>
      </c>
      <c r="H6" s="1">
        <f t="shared" ref="H6:H22" si="0">AVERAGE(B6:G6)</f>
        <v>-1.70731181523975</v>
      </c>
      <c r="J6" s="1">
        <v>-0.159472507680491</v>
      </c>
      <c r="K6" s="1">
        <v>-0.910561996927805</v>
      </c>
      <c r="L6" s="1">
        <v>-5.3171344969278</v>
      </c>
      <c r="M6" s="1">
        <v>-0.617792776497695</v>
      </c>
      <c r="N6" s="1">
        <v>-3.06932567169811</v>
      </c>
      <c r="O6" s="1">
        <v>-1.47488913962264</v>
      </c>
      <c r="P6" s="1">
        <f t="shared" ref="P6:P22" si="1">AVERAGE(J6:O6)</f>
        <v>-1.92486276489242</v>
      </c>
    </row>
    <row r="7" spans="1:16">
      <c r="A7" s="12" t="s">
        <v>74</v>
      </c>
      <c r="B7" s="1">
        <v>-0.020936610738255</v>
      </c>
      <c r="C7" s="1">
        <v>0.00226233183856502</v>
      </c>
      <c r="D7" s="1">
        <v>-0.14968569706104</v>
      </c>
      <c r="E7" s="1">
        <v>-0.811974152223059</v>
      </c>
      <c r="F7" s="1">
        <v>-0.772246655480984</v>
      </c>
      <c r="G7" s="1">
        <v>-0.000756352765321394</v>
      </c>
      <c r="H7" s="1">
        <f t="shared" si="0"/>
        <v>-0.292222856071682</v>
      </c>
      <c r="J7" s="1">
        <v>0.0488874846390169</v>
      </c>
      <c r="K7" s="1">
        <v>0.0910350230414747</v>
      </c>
      <c r="L7" s="1">
        <v>-1.67090018817204</v>
      </c>
      <c r="M7" s="1">
        <v>0.0385179761904761</v>
      </c>
      <c r="N7" s="1">
        <v>-3.13526789811321</v>
      </c>
      <c r="O7" s="1">
        <v>0.0257237735849057</v>
      </c>
      <c r="P7" s="1">
        <f t="shared" si="1"/>
        <v>-0.767000638138229</v>
      </c>
    </row>
    <row r="8" spans="1:16">
      <c r="A8" s="12" t="s">
        <v>75</v>
      </c>
      <c r="B8" s="1">
        <v>-0.0513515995525727</v>
      </c>
      <c r="C8" s="1">
        <v>0.00491106128550075</v>
      </c>
      <c r="D8" s="1">
        <v>-0.0805742275810098</v>
      </c>
      <c r="E8" s="1">
        <v>0.0183663828183873</v>
      </c>
      <c r="F8" s="1">
        <v>-0.143189612229679</v>
      </c>
      <c r="G8" s="1">
        <v>0.00427727952167416</v>
      </c>
      <c r="H8" s="1">
        <f t="shared" si="0"/>
        <v>-0.0412601192896165</v>
      </c>
      <c r="J8" s="1">
        <v>0.048432757296467</v>
      </c>
      <c r="K8" s="1">
        <v>0.0749641513056836</v>
      </c>
      <c r="L8" s="1">
        <v>0.0607951689708141</v>
      </c>
      <c r="M8" s="1">
        <v>0.0783205184331797</v>
      </c>
      <c r="N8" s="1">
        <v>-1.30844820377358</v>
      </c>
      <c r="O8" s="1">
        <v>0.0386664150943396</v>
      </c>
      <c r="P8" s="1">
        <f t="shared" si="1"/>
        <v>-0.167878198778849</v>
      </c>
    </row>
    <row r="9" spans="1:16">
      <c r="A9" s="12" t="s">
        <v>76</v>
      </c>
      <c r="B9" s="1">
        <v>-3.54915450410141</v>
      </c>
      <c r="C9" s="1">
        <v>-0.244746636771301</v>
      </c>
      <c r="D9" s="1">
        <v>-0.372708858327054</v>
      </c>
      <c r="E9" s="1">
        <v>-0.25188398266767</v>
      </c>
      <c r="F9" s="1">
        <v>-5.06541589112603</v>
      </c>
      <c r="G9" s="1">
        <v>-0.147988789237666</v>
      </c>
      <c r="H9" s="1">
        <f t="shared" si="0"/>
        <v>-1.60531644370519</v>
      </c>
      <c r="J9" s="1">
        <v>-0.547313959293395</v>
      </c>
      <c r="K9" s="1">
        <v>-1.49653877112135</v>
      </c>
      <c r="L9" s="1">
        <v>-0.534981259600614</v>
      </c>
      <c r="M9" s="1">
        <v>-0.264450391705069</v>
      </c>
      <c r="N9" s="1">
        <v>-1.74403978867924</v>
      </c>
      <c r="O9" s="1">
        <v>-0.219081852830189</v>
      </c>
      <c r="P9" s="1">
        <f t="shared" si="1"/>
        <v>-0.80106767053831</v>
      </c>
    </row>
    <row r="10" spans="1:16">
      <c r="A10" s="12" t="s">
        <v>77</v>
      </c>
      <c r="B10" s="1">
        <v>-1.65763134228188</v>
      </c>
      <c r="C10" s="1">
        <v>0.0104603886397608</v>
      </c>
      <c r="D10" s="1">
        <v>-0.0354235079125848</v>
      </c>
      <c r="E10" s="1">
        <v>0.0652007347400151</v>
      </c>
      <c r="F10" s="1">
        <v>0.0135505331841909</v>
      </c>
      <c r="G10" s="1">
        <v>-0.00160911808669652</v>
      </c>
      <c r="H10" s="1">
        <f t="shared" si="0"/>
        <v>-0.267575385286199</v>
      </c>
      <c r="J10" s="1">
        <v>0.0555209331797235</v>
      </c>
      <c r="K10" s="1">
        <v>-0.111294665898618</v>
      </c>
      <c r="L10" s="1">
        <v>0.0342087980030722</v>
      </c>
      <c r="M10" s="1">
        <v>-0.322531244239631</v>
      </c>
      <c r="N10" s="1">
        <v>-0.0159427283018868</v>
      </c>
      <c r="O10" s="1">
        <v>0.0173079509433963</v>
      </c>
      <c r="P10" s="1">
        <f t="shared" si="1"/>
        <v>-0.057121826052324</v>
      </c>
    </row>
    <row r="11" spans="1:16">
      <c r="A11" s="12" t="s">
        <v>78</v>
      </c>
      <c r="B11" s="1">
        <v>-3.68117241610738</v>
      </c>
      <c r="C11" s="1">
        <v>0.0251464872944692</v>
      </c>
      <c r="D11" s="1">
        <v>0.084401718161266</v>
      </c>
      <c r="E11" s="1">
        <v>-0.0323641296156745</v>
      </c>
      <c r="F11" s="1">
        <v>0.0383969202087995</v>
      </c>
      <c r="G11" s="1">
        <v>-0.00440881913303439</v>
      </c>
      <c r="H11" s="1">
        <f t="shared" si="0"/>
        <v>-0.595000039865259</v>
      </c>
      <c r="J11" s="1">
        <v>0.0236377112135177</v>
      </c>
      <c r="K11" s="1">
        <v>-0.0114812096774194</v>
      </c>
      <c r="L11" s="1">
        <v>0.0114459485407066</v>
      </c>
      <c r="M11" s="1">
        <v>-2.04644256912442</v>
      </c>
      <c r="N11" s="1">
        <v>-0.0778689735849057</v>
      </c>
      <c r="O11" s="1">
        <v>-0.0428691018867925</v>
      </c>
      <c r="P11" s="1">
        <f t="shared" si="1"/>
        <v>-0.357263032419885</v>
      </c>
    </row>
    <row r="12" spans="1:16">
      <c r="A12" s="12" t="s">
        <v>79</v>
      </c>
      <c r="B12" s="1">
        <v>-2.58541331096197</v>
      </c>
      <c r="C12" s="1">
        <v>0.0284312406576981</v>
      </c>
      <c r="D12" s="1">
        <v>0.0375576488319518</v>
      </c>
      <c r="E12" s="1">
        <v>0.0707803428786737</v>
      </c>
      <c r="F12" s="1">
        <v>0.0597733035048471</v>
      </c>
      <c r="G12" s="1">
        <v>0.00105904334828104</v>
      </c>
      <c r="H12" s="1">
        <f t="shared" si="0"/>
        <v>-0.397968621956753</v>
      </c>
      <c r="J12" s="1">
        <v>0.153899750384025</v>
      </c>
      <c r="K12" s="1">
        <v>0.0334263172043011</v>
      </c>
      <c r="L12" s="1">
        <v>0.0202066897081413</v>
      </c>
      <c r="M12" s="1">
        <v>-1.33557346774194</v>
      </c>
      <c r="N12" s="1">
        <v>-1.19355509056604</v>
      </c>
      <c r="O12" s="1">
        <v>0.031019520754717</v>
      </c>
      <c r="P12" s="1">
        <f t="shared" si="1"/>
        <v>-0.381762713376133</v>
      </c>
    </row>
    <row r="13" spans="1:16">
      <c r="A13" s="12" t="s">
        <v>80</v>
      </c>
      <c r="B13" s="1">
        <v>-7.97738252050708</v>
      </c>
      <c r="C13" s="1">
        <v>-0.742265919282512</v>
      </c>
      <c r="D13" s="1">
        <v>-0.4590298417483</v>
      </c>
      <c r="E13" s="1">
        <v>-1.8561163639789</v>
      </c>
      <c r="F13" s="1">
        <v>-0.212328859060405</v>
      </c>
      <c r="G13" s="1">
        <v>-0.0943467862481297</v>
      </c>
      <c r="H13" s="1">
        <f t="shared" si="0"/>
        <v>-1.89024504847089</v>
      </c>
      <c r="J13" s="1">
        <v>-3.75190483486943</v>
      </c>
      <c r="K13" s="1">
        <v>-1.65244512672811</v>
      </c>
      <c r="L13" s="1">
        <v>-0.852514727342549</v>
      </c>
      <c r="M13" s="1">
        <v>-0.00516662826420982</v>
      </c>
      <c r="N13" s="1">
        <v>-3.01774315094339</v>
      </c>
      <c r="O13" s="1">
        <v>-0.433225758490569</v>
      </c>
      <c r="P13" s="1">
        <f t="shared" si="1"/>
        <v>-1.61883337110638</v>
      </c>
    </row>
    <row r="14" spans="1:16">
      <c r="A14" s="12" t="s">
        <v>38</v>
      </c>
      <c r="B14" s="1">
        <v>-0.274447878448919</v>
      </c>
      <c r="C14" s="1">
        <v>0.04799177877429</v>
      </c>
      <c r="D14" s="1">
        <v>0.157081495855313</v>
      </c>
      <c r="E14" s="1">
        <v>0.0247617483044461</v>
      </c>
      <c r="F14" s="1">
        <v>0.0708306263982102</v>
      </c>
      <c r="G14" s="1">
        <v>-9.34230194319592e-5</v>
      </c>
      <c r="H14" s="1">
        <f t="shared" si="0"/>
        <v>0.00435405797731806</v>
      </c>
      <c r="J14" s="1">
        <v>-2.80717083717358</v>
      </c>
      <c r="K14" s="1">
        <v>0.0265175038402458</v>
      </c>
      <c r="L14" s="1">
        <v>0.117578959293395</v>
      </c>
      <c r="M14" s="1">
        <v>-0.0614172158218126</v>
      </c>
      <c r="N14" s="1">
        <v>-2.69397288679245</v>
      </c>
      <c r="O14" s="1">
        <v>-0.0145781132075472</v>
      </c>
      <c r="P14" s="1">
        <f t="shared" si="1"/>
        <v>-0.905507098310292</v>
      </c>
    </row>
    <row r="15" spans="1:16">
      <c r="A15" s="12" t="s">
        <v>81</v>
      </c>
      <c r="B15" s="1">
        <v>-0.423181592095451</v>
      </c>
      <c r="C15" s="1">
        <v>0.0436846038863976</v>
      </c>
      <c r="D15" s="1">
        <v>0.0204919065561416</v>
      </c>
      <c r="E15" s="1">
        <v>0.357926959306707</v>
      </c>
      <c r="F15" s="1">
        <v>-0.355515268456376</v>
      </c>
      <c r="G15" s="1">
        <v>0.00457623318385645</v>
      </c>
      <c r="H15" s="1">
        <f t="shared" si="0"/>
        <v>-0.0586695262697874</v>
      </c>
      <c r="J15" s="1">
        <v>-1.25976423195085</v>
      </c>
      <c r="K15" s="1">
        <v>0.0215499231950845</v>
      </c>
      <c r="L15" s="1">
        <v>-0.140046920122888</v>
      </c>
      <c r="M15" s="1">
        <v>0.00179282642089092</v>
      </c>
      <c r="N15" s="1">
        <v>-0.821894132075472</v>
      </c>
      <c r="O15" s="1">
        <v>0.00791245283018869</v>
      </c>
      <c r="P15" s="1">
        <f t="shared" si="1"/>
        <v>-0.365075013617174</v>
      </c>
    </row>
    <row r="16" spans="1:16">
      <c r="A16" s="12" t="s">
        <v>40</v>
      </c>
      <c r="B16" s="1">
        <v>-0.252309802386279</v>
      </c>
      <c r="C16" s="1">
        <v>0.0609358669656203</v>
      </c>
      <c r="D16" s="1">
        <v>0.0827816277317258</v>
      </c>
      <c r="E16" s="1">
        <v>-0.935151959306707</v>
      </c>
      <c r="F16" s="1">
        <v>-1.55106636092468</v>
      </c>
      <c r="G16" s="1">
        <v>-0.00331016442451425</v>
      </c>
      <c r="H16" s="1">
        <f t="shared" si="0"/>
        <v>-0.433020132057472</v>
      </c>
      <c r="J16" s="1">
        <v>-0.21993091781874</v>
      </c>
      <c r="K16" s="1">
        <v>0.0144800307219662</v>
      </c>
      <c r="L16" s="1">
        <v>-0.738479566052227</v>
      </c>
      <c r="M16" s="1">
        <v>0.0576054262672811</v>
      </c>
      <c r="N16" s="1">
        <v>0.142720256603774</v>
      </c>
      <c r="O16" s="1">
        <v>0.00194415094339616</v>
      </c>
      <c r="P16" s="1">
        <f t="shared" si="1"/>
        <v>-0.123610103222425</v>
      </c>
    </row>
    <row r="17" spans="1:16">
      <c r="A17" s="12" t="s">
        <v>82</v>
      </c>
      <c r="B17" s="1">
        <v>-0.879884835943323</v>
      </c>
      <c r="C17" s="1">
        <v>-1.66623493273543</v>
      </c>
      <c r="D17" s="1">
        <v>-0.297693044461187</v>
      </c>
      <c r="E17" s="1">
        <v>-1.83141118311982</v>
      </c>
      <c r="F17" s="1">
        <v>-5.9136032028337</v>
      </c>
      <c r="G17" s="1">
        <v>-0.28956576980568</v>
      </c>
      <c r="H17" s="1">
        <f t="shared" si="0"/>
        <v>-1.81306549481652</v>
      </c>
      <c r="J17" s="1">
        <v>-5.43427275345622</v>
      </c>
      <c r="K17" s="1">
        <v>-0.213960061443931</v>
      </c>
      <c r="L17" s="1">
        <v>-4.36317169354839</v>
      </c>
      <c r="M17" s="1">
        <v>-0.186402457757295</v>
      </c>
      <c r="N17" s="1">
        <v>-0.46347854716981</v>
      </c>
      <c r="O17" s="1">
        <v>-0.224649056603775</v>
      </c>
      <c r="P17" s="1">
        <f t="shared" si="1"/>
        <v>-1.8143224283299</v>
      </c>
    </row>
    <row r="18" spans="1:16">
      <c r="A18" s="12" t="s">
        <v>42</v>
      </c>
      <c r="B18" s="1">
        <v>-0.613385029828485</v>
      </c>
      <c r="C18" s="1">
        <v>-7.66109538490284</v>
      </c>
      <c r="D18" s="1">
        <v>-0.341984928409948</v>
      </c>
      <c r="E18" s="1">
        <v>-6.44871437452901</v>
      </c>
      <c r="F18" s="1">
        <v>-0.699720011185685</v>
      </c>
      <c r="G18" s="1">
        <v>-0.19254260089686</v>
      </c>
      <c r="H18" s="1">
        <f t="shared" si="0"/>
        <v>-2.65957372162547</v>
      </c>
      <c r="J18" s="1">
        <v>-0.502762830261137</v>
      </c>
      <c r="K18" s="1">
        <v>-0.317957108294934</v>
      </c>
      <c r="L18" s="1">
        <v>-2.40456879416282</v>
      </c>
      <c r="M18" s="1">
        <v>-0.427052526881723</v>
      </c>
      <c r="N18" s="1">
        <v>-0.501335849056605</v>
      </c>
      <c r="O18" s="1">
        <v>-0.361012075471701</v>
      </c>
      <c r="P18" s="1">
        <f t="shared" si="1"/>
        <v>-0.75244819735482</v>
      </c>
    </row>
    <row r="19" spans="1:16">
      <c r="A19" s="12" t="s">
        <v>83</v>
      </c>
      <c r="B19" s="1">
        <v>-1.21357752796421</v>
      </c>
      <c r="C19" s="1">
        <v>0.148600056053812</v>
      </c>
      <c r="D19" s="1">
        <v>-0.938071518462698</v>
      </c>
      <c r="E19" s="1">
        <v>0.165039864355689</v>
      </c>
      <c r="F19" s="1">
        <v>0.091669649515287</v>
      </c>
      <c r="G19" s="1">
        <v>0.00160239162929759</v>
      </c>
      <c r="H19" s="1">
        <f t="shared" si="0"/>
        <v>-0.29078951414547</v>
      </c>
      <c r="J19" s="1">
        <v>0.284763525345622</v>
      </c>
      <c r="K19" s="1">
        <v>0.012226574500768</v>
      </c>
      <c r="L19" s="1">
        <v>0.124067588325653</v>
      </c>
      <c r="M19" s="1">
        <v>-2.34949488095238</v>
      </c>
      <c r="N19" s="1">
        <v>-0.476431852830189</v>
      </c>
      <c r="O19" s="1">
        <v>0.0285396226415094</v>
      </c>
      <c r="P19" s="1">
        <f t="shared" si="1"/>
        <v>-0.396054903828169</v>
      </c>
    </row>
    <row r="20" spans="1:16">
      <c r="A20" s="12" t="s">
        <v>84</v>
      </c>
      <c r="B20" s="1">
        <v>-2.13427391498882</v>
      </c>
      <c r="C20" s="1">
        <v>-0.234410683856502</v>
      </c>
      <c r="D20" s="1">
        <v>-0.88840193669932</v>
      </c>
      <c r="E20" s="1">
        <v>-3.19243185380558</v>
      </c>
      <c r="F20" s="1">
        <v>-0.370219556301269</v>
      </c>
      <c r="G20" s="1">
        <v>-0.180322122571</v>
      </c>
      <c r="H20" s="1">
        <f t="shared" si="0"/>
        <v>-1.16667667803708</v>
      </c>
      <c r="J20" s="1">
        <v>-0.355416532258063</v>
      </c>
      <c r="K20" s="1">
        <v>-0.282582949308758</v>
      </c>
      <c r="L20" s="1">
        <v>-6.57947248847927</v>
      </c>
      <c r="M20" s="1">
        <v>-8.92764450076805</v>
      </c>
      <c r="N20" s="1">
        <v>-0.392793233962262</v>
      </c>
      <c r="O20" s="1">
        <v>-0.213778252830189</v>
      </c>
      <c r="P20" s="1">
        <f t="shared" si="1"/>
        <v>-2.79194799293443</v>
      </c>
    </row>
    <row r="21" spans="1:16">
      <c r="A21" s="12" t="s">
        <v>85</v>
      </c>
      <c r="B21" s="1">
        <v>-3.9828455891126</v>
      </c>
      <c r="C21" s="1">
        <v>-1.94386292600897</v>
      </c>
      <c r="D21" s="1">
        <v>-1.9241136360211</v>
      </c>
      <c r="E21" s="1">
        <v>-0.485982784476262</v>
      </c>
      <c r="F21" s="1">
        <v>-1.44135441834452</v>
      </c>
      <c r="G21" s="1">
        <v>-0.272617339312409</v>
      </c>
      <c r="H21" s="1">
        <f t="shared" si="0"/>
        <v>-1.67512944887931</v>
      </c>
      <c r="J21" s="1">
        <v>-1.11897997311828</v>
      </c>
      <c r="K21" s="1">
        <v>-0.459152469278035</v>
      </c>
      <c r="L21" s="1">
        <v>-0.265711205837173</v>
      </c>
      <c r="M21" s="1">
        <v>-0.262712749615975</v>
      </c>
      <c r="N21" s="1">
        <v>-1.47613585660377</v>
      </c>
      <c r="O21" s="1">
        <v>-0.161045283018867</v>
      </c>
      <c r="P21" s="1">
        <f t="shared" si="1"/>
        <v>-0.62395625624535</v>
      </c>
    </row>
    <row r="22" spans="1:16">
      <c r="A22" s="13" t="s">
        <v>62</v>
      </c>
      <c r="B22" s="1">
        <f>SUM(B2:B21)</f>
        <v>-32.9851915548098</v>
      </c>
      <c r="C22" s="1">
        <f>SUM(C2:C21)</f>
        <v>-14.7762649439462</v>
      </c>
      <c r="D22" s="1">
        <f t="shared" ref="B22:G22" si="2">SUM(D2:D21)</f>
        <v>-19.6924200452147</v>
      </c>
      <c r="E22" s="1">
        <f t="shared" si="2"/>
        <v>-21.2288816465712</v>
      </c>
      <c r="F22" s="1">
        <f t="shared" si="2"/>
        <v>-26.5986800410142</v>
      </c>
      <c r="G22" s="1">
        <f t="shared" si="2"/>
        <v>-1.45502541106129</v>
      </c>
      <c r="H22" s="1">
        <f t="shared" si="0"/>
        <v>-19.4560772737696</v>
      </c>
      <c r="J22" s="1">
        <f t="shared" ref="J22:O22" si="3">SUM(J2:J21)</f>
        <v>-19.4703693010753</v>
      </c>
      <c r="K22" s="1">
        <f t="shared" si="3"/>
        <v>-2.82929380184332</v>
      </c>
      <c r="L22" s="1">
        <f t="shared" si="3"/>
        <v>-29.9090975384024</v>
      </c>
      <c r="M22" s="1">
        <f t="shared" si="3"/>
        <v>-21.6493188863287</v>
      </c>
      <c r="N22" s="1">
        <f t="shared" si="3"/>
        <v>-37.0702302528302</v>
      </c>
      <c r="O22" s="1">
        <f t="shared" si="3"/>
        <v>-14.8114576377358</v>
      </c>
      <c r="P22" s="1">
        <f t="shared" si="1"/>
        <v>-20.956627903036</v>
      </c>
    </row>
    <row r="24" spans="2:15">
      <c r="B24" s="14"/>
      <c r="C24" s="14"/>
      <c r="D24" s="14"/>
      <c r="E24" s="14"/>
      <c r="F24" s="14"/>
      <c r="G24" s="14"/>
      <c r="J24" s="14"/>
      <c r="K24" s="14"/>
      <c r="L24" s="14"/>
      <c r="M24" s="14"/>
      <c r="N24" s="14"/>
      <c r="O24" s="14"/>
    </row>
    <row r="25" spans="6:6">
      <c r="F25" s="12"/>
    </row>
    <row r="26" spans="2:7">
      <c r="B26" s="4"/>
      <c r="C26" s="4"/>
      <c r="D26" s="4"/>
      <c r="E26" s="4"/>
      <c r="F26" s="4"/>
      <c r="G26" s="4"/>
    </row>
    <row r="27" spans="2:14">
      <c r="B27" s="6"/>
      <c r="C27" s="14"/>
      <c r="D27" s="14"/>
      <c r="E27" s="6"/>
      <c r="F27" s="11"/>
      <c r="G27" s="14"/>
      <c r="H27" s="14"/>
      <c r="I27" s="6"/>
      <c r="J27" s="11"/>
      <c r="K27" s="14"/>
      <c r="L27" s="14"/>
      <c r="M27" s="6"/>
      <c r="N27" s="11"/>
    </row>
    <row r="28" spans="2:14">
      <c r="B28" s="6"/>
      <c r="C28" s="14"/>
      <c r="D28" s="14"/>
      <c r="E28" s="6"/>
      <c r="F28" s="11"/>
      <c r="G28" s="1"/>
      <c r="H28" s="14"/>
      <c r="I28" s="6"/>
      <c r="J28" s="11"/>
      <c r="K28" s="14"/>
      <c r="L28" s="14"/>
      <c r="M28" s="6"/>
      <c r="N28" s="11"/>
    </row>
    <row r="29" spans="6:6">
      <c r="F29" s="12"/>
    </row>
    <row r="30" spans="6:6">
      <c r="F30" s="12"/>
    </row>
    <row r="31" spans="6:6">
      <c r="F31" s="12"/>
    </row>
    <row r="32" spans="2:6">
      <c r="B32" s="7"/>
      <c r="C32" s="8"/>
      <c r="D32" s="8"/>
      <c r="E32" s="8"/>
      <c r="F32" s="8"/>
    </row>
    <row r="33" spans="2:6">
      <c r="B33" s="9"/>
      <c r="C33" s="10"/>
      <c r="D33" s="10"/>
      <c r="E33" s="10"/>
      <c r="F33" s="8"/>
    </row>
    <row r="34" spans="6:6">
      <c r="F34" s="12"/>
    </row>
    <row r="35" spans="6:6">
      <c r="F35" s="12"/>
    </row>
    <row r="36" spans="6:6">
      <c r="F36" s="12"/>
    </row>
    <row r="37" spans="6:6">
      <c r="F37" s="12"/>
    </row>
    <row r="38" spans="6:6">
      <c r="F38" s="12"/>
    </row>
    <row r="39" spans="6:6">
      <c r="F39" s="12"/>
    </row>
    <row r="40" spans="6:6">
      <c r="F40" s="12"/>
    </row>
    <row r="41" spans="6:6">
      <c r="F41" s="12"/>
    </row>
    <row r="42" spans="6:6">
      <c r="F42" s="12"/>
    </row>
    <row r="43" spans="6:6">
      <c r="F43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zoomScale="70" zoomScaleNormal="70" workbookViewId="0">
      <selection activeCell="L30" sqref="L30"/>
    </sheetView>
  </sheetViews>
  <sheetFormatPr defaultColWidth="9" defaultRowHeight="18"/>
  <cols>
    <col min="1" max="1" width="19.5" style="12" customWidth="1"/>
    <col min="2" max="2" width="25.875" style="1" customWidth="1"/>
    <col min="3" max="4" width="26.125" style="1" customWidth="1"/>
    <col min="5" max="5" width="26.375" style="1" customWidth="1"/>
    <col min="6" max="6" width="26.125" style="1" customWidth="1"/>
    <col min="7" max="7" width="26.375" style="1" customWidth="1"/>
    <col min="8" max="8" width="13.75" style="1" customWidth="1"/>
    <col min="9" max="10" width="9" style="1"/>
    <col min="11" max="11" width="18.625" style="1" customWidth="1"/>
    <col min="12" max="13" width="18.875" style="1" customWidth="1"/>
    <col min="14" max="14" width="19.125" style="1" customWidth="1"/>
    <col min="15" max="15" width="18.875" style="1" customWidth="1"/>
    <col min="16" max="16" width="19.125" style="1" customWidth="1"/>
    <col min="17" max="17" width="13.75" style="1" customWidth="1"/>
    <col min="18" max="16384" width="9" style="1"/>
  </cols>
  <sheetData>
    <row r="1" spans="1:17">
      <c r="A1" s="4" t="s">
        <v>0</v>
      </c>
      <c r="B1" s="4" t="s">
        <v>86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7</v>
      </c>
      <c r="I1" s="4"/>
      <c r="J1" s="4"/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7</v>
      </c>
    </row>
    <row r="2" spans="1:17">
      <c r="A2" s="12" t="s">
        <v>92</v>
      </c>
      <c r="B2" s="1">
        <v>-0.748987108294929</v>
      </c>
      <c r="C2" s="1">
        <v>-0.359262642089094</v>
      </c>
      <c r="D2" s="1">
        <v>-0.305532202743901</v>
      </c>
      <c r="E2" s="1">
        <v>-2.03168935213415</v>
      </c>
      <c r="F2" s="1">
        <v>-0.51268899001536</v>
      </c>
      <c r="G2" s="1">
        <v>-3.41330279569893</v>
      </c>
      <c r="H2" s="1">
        <f>AVERAGE(B2:G2)</f>
        <v>-1.22857718182939</v>
      </c>
      <c r="K2" s="1">
        <v>-0.415277066052228</v>
      </c>
      <c r="L2" s="1">
        <v>-2.01853440860215</v>
      </c>
      <c r="M2" s="1">
        <v>-0.409237761136714</v>
      </c>
      <c r="N2" s="1">
        <v>-1.36009202764977</v>
      </c>
      <c r="O2" s="1">
        <v>-0.99330778490566</v>
      </c>
      <c r="P2" s="1">
        <v>-1.79376841132075</v>
      </c>
      <c r="Q2" s="1">
        <f>AVERAGE(K2:P2)</f>
        <v>-1.16503624327788</v>
      </c>
    </row>
    <row r="3" spans="1:17">
      <c r="A3" s="12" t="s">
        <v>93</v>
      </c>
      <c r="B3" s="1">
        <v>0.267452964669739</v>
      </c>
      <c r="C3" s="1">
        <v>-1.5391404953917</v>
      </c>
      <c r="D3" s="1">
        <v>0.347746745426829</v>
      </c>
      <c r="E3" s="1">
        <v>0.12304253429878</v>
      </c>
      <c r="F3" s="1">
        <v>0.114264942396314</v>
      </c>
      <c r="G3" s="1">
        <v>0.107193195084486</v>
      </c>
      <c r="H3" s="1">
        <f>AVERAGE(B3:G3)</f>
        <v>-0.096573352252592</v>
      </c>
      <c r="K3" s="1">
        <v>-0.000352534562212088</v>
      </c>
      <c r="L3" s="1">
        <v>0.151725679723502</v>
      </c>
      <c r="M3" s="1">
        <v>0.0886206374807987</v>
      </c>
      <c r="N3" s="1">
        <v>0.0611967319508447</v>
      </c>
      <c r="O3" s="1">
        <v>0.151656916981132</v>
      </c>
      <c r="P3" s="1">
        <v>-0.170578811320755</v>
      </c>
      <c r="Q3" s="1">
        <f>AVERAGE(K3:P3)</f>
        <v>0.0470447700422184</v>
      </c>
    </row>
    <row r="4" spans="1:17">
      <c r="A4" s="12" t="s">
        <v>94</v>
      </c>
      <c r="B4" s="1">
        <v>-0.5756868625192</v>
      </c>
      <c r="C4" s="1">
        <v>-1.50182069892473</v>
      </c>
      <c r="D4" s="1">
        <v>-2.64821807926829</v>
      </c>
      <c r="E4" s="1">
        <v>-0.425569828506101</v>
      </c>
      <c r="F4" s="1">
        <v>-0.514701182795698</v>
      </c>
      <c r="G4" s="1">
        <v>-0.447504489247311</v>
      </c>
      <c r="H4" s="1">
        <f>AVERAGE(B4:G4)</f>
        <v>-1.01891685687689</v>
      </c>
      <c r="K4" s="1">
        <v>1.19513754992319</v>
      </c>
      <c r="L4" s="1">
        <v>0.972830495391705</v>
      </c>
      <c r="M4" s="1">
        <v>1.90177143241168</v>
      </c>
      <c r="N4" s="1">
        <v>0.896837642089095</v>
      </c>
      <c r="O4" s="1">
        <v>1.21097020754717</v>
      </c>
      <c r="P4" s="1">
        <v>1.16879848679246</v>
      </c>
      <c r="Q4" s="1">
        <f>AVERAGE(K4:P4)</f>
        <v>1.22439096902588</v>
      </c>
    </row>
    <row r="5" spans="1:17">
      <c r="A5" s="12" t="s">
        <v>95</v>
      </c>
      <c r="B5" s="1">
        <v>-0.257254562211982</v>
      </c>
      <c r="C5" s="1">
        <v>0.168654777265745</v>
      </c>
      <c r="D5" s="1">
        <v>-0.812841665396342</v>
      </c>
      <c r="E5" s="1">
        <v>0.0867190891768293</v>
      </c>
      <c r="F5" s="1">
        <v>0.0270774347158217</v>
      </c>
      <c r="G5" s="1">
        <v>0.0418379416282642</v>
      </c>
      <c r="H5" s="1">
        <f t="shared" ref="H5:H13" si="0">AVERAGE(B5:G5)</f>
        <v>-0.124301164136944</v>
      </c>
      <c r="K5" s="1">
        <v>-0.119211712749616</v>
      </c>
      <c r="L5" s="1">
        <v>0.198392718894009</v>
      </c>
      <c r="M5" s="1">
        <v>0.0103790437788019</v>
      </c>
      <c r="N5" s="1">
        <v>0.0516904761904762</v>
      </c>
      <c r="O5" s="1">
        <v>0.131835339622641</v>
      </c>
      <c r="P5" s="1">
        <v>0.374200335849057</v>
      </c>
      <c r="Q5" s="1">
        <f t="shared" ref="Q5:Q13" si="1">AVERAGE(K5:P5)</f>
        <v>0.107881033597562</v>
      </c>
    </row>
    <row r="6" spans="1:17">
      <c r="A6" s="12" t="s">
        <v>96</v>
      </c>
      <c r="B6" s="1">
        <v>-1.212463859447</v>
      </c>
      <c r="C6" s="1">
        <v>-0.144557077572965</v>
      </c>
      <c r="D6" s="1">
        <v>-2.52386179115854</v>
      </c>
      <c r="E6" s="1">
        <v>0.0462655678353657</v>
      </c>
      <c r="F6" s="1">
        <v>-0.0487061405529953</v>
      </c>
      <c r="G6" s="1">
        <v>0.0477050691244239</v>
      </c>
      <c r="H6" s="1">
        <f t="shared" si="0"/>
        <v>-0.639269705295285</v>
      </c>
      <c r="K6" s="1">
        <v>-2.73213451996928</v>
      </c>
      <c r="L6" s="1">
        <v>-0.587396835637481</v>
      </c>
      <c r="M6" s="1">
        <v>0.146692365591398</v>
      </c>
      <c r="N6" s="1">
        <v>0.067684331797235</v>
      </c>
      <c r="O6" s="1">
        <v>0.925796173584906</v>
      </c>
      <c r="P6" s="1">
        <v>-0.372870630188679</v>
      </c>
      <c r="Q6" s="1">
        <f t="shared" si="1"/>
        <v>-0.425371519136984</v>
      </c>
    </row>
    <row r="7" spans="1:17">
      <c r="A7" s="12" t="s">
        <v>97</v>
      </c>
      <c r="B7" s="1">
        <v>-0.145958149001536</v>
      </c>
      <c r="C7" s="1">
        <v>25.0402925960061</v>
      </c>
      <c r="D7" s="1">
        <v>-2.44820732469512</v>
      </c>
      <c r="E7" s="1">
        <v>13.9799415967988</v>
      </c>
      <c r="F7" s="1">
        <v>-0.984158513824885</v>
      </c>
      <c r="G7" s="1">
        <v>0.0802827457757297</v>
      </c>
      <c r="H7" s="1">
        <f t="shared" si="0"/>
        <v>5.92036549184318</v>
      </c>
      <c r="K7" s="1">
        <v>0.178561251920123</v>
      </c>
      <c r="L7" s="1">
        <v>-1.48022801459293</v>
      </c>
      <c r="M7" s="1">
        <v>-1.68263649769585</v>
      </c>
      <c r="N7" s="1">
        <v>0.117904865591398</v>
      </c>
      <c r="O7" s="1">
        <v>-1.14691980377359</v>
      </c>
      <c r="P7" s="1">
        <v>-2.00944241509434</v>
      </c>
      <c r="Q7" s="1">
        <f t="shared" si="1"/>
        <v>-1.00379343560753</v>
      </c>
    </row>
    <row r="8" spans="1:17">
      <c r="A8" s="12" t="s">
        <v>98</v>
      </c>
      <c r="B8" s="1">
        <v>-0.422920311059907</v>
      </c>
      <c r="C8" s="1">
        <v>1.34656690860215</v>
      </c>
      <c r="D8" s="1">
        <v>-2.04422200457317</v>
      </c>
      <c r="E8" s="1">
        <v>-0.314183086890244</v>
      </c>
      <c r="F8" s="1">
        <v>-0.56306996543779</v>
      </c>
      <c r="G8" s="1">
        <v>-0.452480176651309</v>
      </c>
      <c r="H8" s="1">
        <f t="shared" si="0"/>
        <v>-0.408384772668378</v>
      </c>
      <c r="K8" s="1">
        <v>-2.51182744239632</v>
      </c>
      <c r="L8" s="1">
        <v>-0.454334016897083</v>
      </c>
      <c r="M8" s="1">
        <v>-1.09000909754224</v>
      </c>
      <c r="N8" s="1">
        <v>-1.61509942012289</v>
      </c>
      <c r="O8" s="1">
        <v>-4.2104559018868</v>
      </c>
      <c r="P8" s="1">
        <v>-0.356422320754716</v>
      </c>
      <c r="Q8" s="1">
        <f t="shared" si="1"/>
        <v>-1.70635803326667</v>
      </c>
    </row>
    <row r="9" spans="1:17">
      <c r="A9" s="12" t="s">
        <v>99</v>
      </c>
      <c r="B9" s="1">
        <v>-0.274420637480799</v>
      </c>
      <c r="C9" s="1">
        <v>-0.245774062980031</v>
      </c>
      <c r="D9" s="1">
        <v>-0.00496614329268298</v>
      </c>
      <c r="E9" s="1">
        <v>0.463740457317073</v>
      </c>
      <c r="F9" s="1">
        <v>-0.0115992165898617</v>
      </c>
      <c r="G9" s="1">
        <v>-0.0141221390168971</v>
      </c>
      <c r="H9" s="1">
        <f t="shared" si="0"/>
        <v>-0.0145236236738665</v>
      </c>
      <c r="K9" s="1">
        <v>-0.281816712749616</v>
      </c>
      <c r="L9" s="1">
        <v>1.46119860599078</v>
      </c>
      <c r="M9" s="1">
        <v>0.117225288018433</v>
      </c>
      <c r="N9" s="1">
        <v>0.0537655069124424</v>
      </c>
      <c r="O9" s="1">
        <v>12.7001924943396</v>
      </c>
      <c r="P9" s="1">
        <v>17.3689877509434</v>
      </c>
      <c r="Q9" s="1">
        <f t="shared" si="1"/>
        <v>5.23659215557584</v>
      </c>
    </row>
    <row r="10" spans="1:17">
      <c r="A10" s="12" t="s">
        <v>100</v>
      </c>
      <c r="B10" s="1">
        <v>12.3636902457757</v>
      </c>
      <c r="C10" s="1">
        <v>-1.04239920122888</v>
      </c>
      <c r="D10" s="1">
        <v>2.5299859832317</v>
      </c>
      <c r="E10" s="1">
        <v>82.7743804916159</v>
      </c>
      <c r="F10" s="1">
        <v>-1.15397862135177</v>
      </c>
      <c r="G10" s="1">
        <v>104.56627577957</v>
      </c>
      <c r="H10" s="1">
        <f t="shared" si="0"/>
        <v>33.3396591129354</v>
      </c>
      <c r="K10" s="1">
        <v>-0.469323195084485</v>
      </c>
      <c r="L10" s="1">
        <v>22.5453430453149</v>
      </c>
      <c r="M10" s="1">
        <v>17.9503931682028</v>
      </c>
      <c r="N10" s="1">
        <v>-0.355323091397852</v>
      </c>
      <c r="O10" s="1">
        <v>-1.97607414716981</v>
      </c>
      <c r="P10" s="1">
        <v>9.3585228754717</v>
      </c>
      <c r="Q10" s="1">
        <f t="shared" si="1"/>
        <v>7.84225644255621</v>
      </c>
    </row>
    <row r="11" spans="1:17">
      <c r="A11" s="12" t="s">
        <v>101</v>
      </c>
      <c r="B11" s="1">
        <v>7.63502361367128</v>
      </c>
      <c r="C11" s="1">
        <v>0.163609013056836</v>
      </c>
      <c r="D11" s="1">
        <v>2.27307826981707</v>
      </c>
      <c r="E11" s="1">
        <v>1.60632489710366</v>
      </c>
      <c r="F11" s="1">
        <v>-0.0382669623655914</v>
      </c>
      <c r="G11" s="1">
        <v>6.01636138248848</v>
      </c>
      <c r="H11" s="1">
        <f t="shared" si="0"/>
        <v>2.94268836896196</v>
      </c>
      <c r="K11" s="1">
        <v>0.029689708141321</v>
      </c>
      <c r="L11" s="1">
        <v>3.57799624039938</v>
      </c>
      <c r="M11" s="1">
        <v>0.823999078341014</v>
      </c>
      <c r="N11" s="1">
        <v>0.0230281221198157</v>
      </c>
      <c r="O11" s="1">
        <v>1.33004888301887</v>
      </c>
      <c r="P11" s="1">
        <v>-0.106326788679245</v>
      </c>
      <c r="Q11" s="1">
        <f t="shared" si="1"/>
        <v>0.946405873890193</v>
      </c>
    </row>
    <row r="12" spans="1:17">
      <c r="A12" s="12" t="s">
        <v>102</v>
      </c>
      <c r="B12" s="1">
        <v>10.7510076228879</v>
      </c>
      <c r="C12" s="1">
        <v>-0.148825399385561</v>
      </c>
      <c r="D12" s="1">
        <v>12.0656957012195</v>
      </c>
      <c r="E12" s="1">
        <v>3.38958971417683</v>
      </c>
      <c r="F12" s="1">
        <v>0.101245165130569</v>
      </c>
      <c r="G12" s="1">
        <v>-0.22410569124424</v>
      </c>
      <c r="H12" s="1">
        <f t="shared" si="0"/>
        <v>4.3224345187975</v>
      </c>
      <c r="K12" s="1">
        <v>0.112694316436252</v>
      </c>
      <c r="L12" s="1">
        <v>7.73313810291859</v>
      </c>
      <c r="M12" s="1">
        <v>1.24922690860215</v>
      </c>
      <c r="N12" s="1">
        <v>0.738647043010753</v>
      </c>
      <c r="O12" s="1">
        <v>5.52655269811321</v>
      </c>
      <c r="P12" s="1">
        <v>3.7995176490566</v>
      </c>
      <c r="Q12" s="1">
        <f t="shared" si="1"/>
        <v>3.19329611968959</v>
      </c>
    </row>
    <row r="13" spans="1:17">
      <c r="A13" s="13" t="s">
        <v>62</v>
      </c>
      <c r="B13" s="1">
        <f t="shared" ref="B13:G13" si="2">SUM(B2:B12)</f>
        <v>27.3794829569893</v>
      </c>
      <c r="C13" s="1">
        <f t="shared" si="2"/>
        <v>21.7373437173579</v>
      </c>
      <c r="D13" s="1">
        <f t="shared" si="2"/>
        <v>6.42865748856707</v>
      </c>
      <c r="E13" s="1">
        <f t="shared" si="2"/>
        <v>99.6985620807927</v>
      </c>
      <c r="F13" s="1">
        <f t="shared" si="2"/>
        <v>-3.58458205069125</v>
      </c>
      <c r="G13" s="1">
        <f t="shared" si="2"/>
        <v>106.308140821813</v>
      </c>
      <c r="H13" s="1">
        <f t="shared" si="0"/>
        <v>42.9946008358048</v>
      </c>
      <c r="K13" s="1">
        <f t="shared" ref="K13:P13" si="3">SUM(K2:K12)</f>
        <v>-5.01386035714286</v>
      </c>
      <c r="L13" s="1">
        <f t="shared" si="3"/>
        <v>32.1001316129032</v>
      </c>
      <c r="M13" s="1">
        <f t="shared" si="3"/>
        <v>19.1064245660522</v>
      </c>
      <c r="N13" s="1">
        <f t="shared" si="3"/>
        <v>-1.31975981950845</v>
      </c>
      <c r="O13" s="1">
        <f t="shared" si="3"/>
        <v>13.6502950754717</v>
      </c>
      <c r="P13" s="1">
        <f t="shared" si="3"/>
        <v>27.2606177207547</v>
      </c>
      <c r="Q13" s="1">
        <f t="shared" si="1"/>
        <v>14.2973081330884</v>
      </c>
    </row>
    <row r="18" spans="1:1">
      <c r="A18" s="4"/>
    </row>
    <row r="19" spans="1:1">
      <c r="A19" s="4"/>
    </row>
    <row r="33" spans="1:1">
      <c r="A33" s="4"/>
    </row>
    <row r="34" spans="1:1">
      <c r="A34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zoomScale="85" zoomScaleNormal="85" workbookViewId="0">
      <selection activeCell="D42" sqref="D42"/>
    </sheetView>
  </sheetViews>
  <sheetFormatPr defaultColWidth="9" defaultRowHeight="18"/>
  <cols>
    <col min="1" max="1" width="19.5" style="2" customWidth="1"/>
    <col min="2" max="2" width="23.875" style="3" customWidth="1"/>
    <col min="3" max="4" width="24.125" style="3" customWidth="1"/>
    <col min="5" max="5" width="24.5" style="3" customWidth="1"/>
    <col min="6" max="6" width="24.125" style="3" customWidth="1"/>
    <col min="7" max="7" width="24.5" style="3" customWidth="1"/>
    <col min="8" max="8" width="13.75" style="3" customWidth="1"/>
    <col min="9" max="10" width="9" style="3"/>
    <col min="11" max="11" width="18.625" style="3" customWidth="1"/>
    <col min="12" max="13" width="18.875" style="3" customWidth="1"/>
    <col min="14" max="14" width="19.125" style="3" customWidth="1"/>
    <col min="15" max="15" width="18.875" style="3" customWidth="1"/>
    <col min="16" max="16" width="19.125" style="3" customWidth="1"/>
    <col min="17" max="17" width="13.75" style="3" customWidth="1"/>
    <col min="18" max="16384" width="9" style="3"/>
  </cols>
  <sheetData>
    <row r="1" s="1" customFormat="1" spans="1:17">
      <c r="A1" s="4" t="s">
        <v>0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7</v>
      </c>
      <c r="I1" s="4"/>
      <c r="J1" s="4"/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7</v>
      </c>
    </row>
    <row r="2" spans="1:17">
      <c r="A2" s="2" t="s">
        <v>109</v>
      </c>
      <c r="B2" s="3">
        <v>-1.05454196279423</v>
      </c>
      <c r="C2" s="3">
        <v>-4.39212796507214</v>
      </c>
      <c r="D2" s="3">
        <v>-1.27199464026163</v>
      </c>
      <c r="E2" s="3">
        <v>-3.33811108284884</v>
      </c>
      <c r="F2" s="3">
        <v>-4.90614933042213</v>
      </c>
      <c r="G2" s="3">
        <v>-4.31872891557496</v>
      </c>
      <c r="H2" s="3">
        <f>AVERAGE(B2:G2)</f>
        <v>-3.21360898282899</v>
      </c>
      <c r="K2" s="3">
        <v>-2.13572717357911</v>
      </c>
      <c r="L2" s="3">
        <v>-3.98475552995392</v>
      </c>
      <c r="M2" s="3">
        <v>-4.6785452764977</v>
      </c>
      <c r="N2" s="3">
        <v>-1.96512551075269</v>
      </c>
      <c r="O2" s="3">
        <v>-1.20062801886792</v>
      </c>
      <c r="P2" s="3">
        <v>-2.10816084905661</v>
      </c>
      <c r="Q2" s="3">
        <f>AVERAGE(K2:P2)</f>
        <v>-2.67882372645133</v>
      </c>
    </row>
    <row r="3" spans="1:17">
      <c r="A3" s="2" t="s">
        <v>110</v>
      </c>
      <c r="B3" s="3">
        <v>-0.703413268792713</v>
      </c>
      <c r="C3" s="3">
        <v>-5.22273686788155</v>
      </c>
      <c r="D3" s="3">
        <v>-2.66183359738372</v>
      </c>
      <c r="E3" s="3">
        <v>-3.21315882267442</v>
      </c>
      <c r="F3" s="3">
        <v>-3.06750446870451</v>
      </c>
      <c r="G3" s="3">
        <v>-1.96068272197962</v>
      </c>
      <c r="H3" s="3">
        <f>AVERAGE(B3:G3)</f>
        <v>-2.80488829123609</v>
      </c>
      <c r="K3" s="3">
        <v>1.30485823732719</v>
      </c>
      <c r="L3" s="3">
        <v>1.91404033794163</v>
      </c>
      <c r="M3" s="3">
        <v>1.97604052995392</v>
      </c>
      <c r="N3" s="3">
        <v>0.695065142089094</v>
      </c>
      <c r="O3" s="3">
        <v>1.3665166</v>
      </c>
      <c r="P3" s="3">
        <v>0.743457056603772</v>
      </c>
      <c r="Q3" s="3">
        <f>AVERAGE(K3:P3)</f>
        <v>1.3333296506526</v>
      </c>
    </row>
    <row r="4" spans="1:17">
      <c r="A4" s="2" t="s">
        <v>111</v>
      </c>
      <c r="B4" s="3">
        <v>-0.0337286066818527</v>
      </c>
      <c r="C4" s="3">
        <v>-0.0184917501898254</v>
      </c>
      <c r="D4" s="3">
        <v>-0.403500995639535</v>
      </c>
      <c r="E4" s="3">
        <v>-1.84482747093023</v>
      </c>
      <c r="F4" s="3">
        <v>-0.159177456331878</v>
      </c>
      <c r="G4" s="3">
        <v>0.156623209606987</v>
      </c>
      <c r="H4" s="3">
        <f t="shared" ref="H4:H26" si="0">AVERAGE(B4:G4)</f>
        <v>-0.383850511694389</v>
      </c>
      <c r="K4" s="3">
        <v>0.0802152073732718</v>
      </c>
      <c r="L4" s="3">
        <v>-0.0724793317972351</v>
      </c>
      <c r="M4" s="3">
        <v>0.152537634408602</v>
      </c>
      <c r="N4" s="3">
        <v>0.0515541321044546</v>
      </c>
      <c r="O4" s="3">
        <v>-0.740323845283019</v>
      </c>
      <c r="P4" s="3">
        <v>-0.771347026415094</v>
      </c>
      <c r="Q4" s="3">
        <f t="shared" ref="Q4:Q26" si="1">AVERAGE(K4:P4)</f>
        <v>-0.21664053826817</v>
      </c>
    </row>
    <row r="5" spans="1:17">
      <c r="A5" s="2" t="s">
        <v>112</v>
      </c>
      <c r="B5" s="3">
        <v>-0.512944677296887</v>
      </c>
      <c r="C5" s="3">
        <v>0.051431476841306</v>
      </c>
      <c r="D5" s="3">
        <v>-0.010345472383721</v>
      </c>
      <c r="E5" s="3">
        <v>0.0210841751453489</v>
      </c>
      <c r="F5" s="3">
        <v>0.109804949053857</v>
      </c>
      <c r="G5" s="3">
        <v>-0.711727081513828</v>
      </c>
      <c r="H5" s="3">
        <f t="shared" si="0"/>
        <v>-0.175449438358987</v>
      </c>
      <c r="K5" s="3">
        <v>0.0172419700460829</v>
      </c>
      <c r="L5" s="3">
        <v>0.264876367127496</v>
      </c>
      <c r="M5" s="3">
        <v>0.0234851612903225</v>
      </c>
      <c r="N5" s="3">
        <v>0.108009178187404</v>
      </c>
      <c r="O5" s="3">
        <v>0.267909660377359</v>
      </c>
      <c r="P5" s="3">
        <v>-1.40941873584906</v>
      </c>
      <c r="Q5" s="3">
        <f t="shared" si="1"/>
        <v>-0.121316066470066</v>
      </c>
    </row>
    <row r="6" spans="1:17">
      <c r="A6" s="2" t="s">
        <v>73</v>
      </c>
      <c r="B6" s="3">
        <v>-1.57959850797267</v>
      </c>
      <c r="C6" s="3">
        <v>-1.03908977980258</v>
      </c>
      <c r="D6" s="3">
        <v>-3.05490914607558</v>
      </c>
      <c r="E6" s="3">
        <v>-0.563217256540699</v>
      </c>
      <c r="F6" s="3">
        <v>-0.557648202328965</v>
      </c>
      <c r="G6" s="3">
        <v>-3.49510330786026</v>
      </c>
      <c r="H6" s="3">
        <f t="shared" si="0"/>
        <v>-1.71492770009679</v>
      </c>
      <c r="K6" s="3">
        <v>-0.268265821812596</v>
      </c>
      <c r="L6" s="3">
        <v>-2.47690103302612</v>
      </c>
      <c r="M6" s="3">
        <v>-1.14983170890937</v>
      </c>
      <c r="N6" s="3">
        <v>-1.43241046850998</v>
      </c>
      <c r="O6" s="3">
        <v>-2.10099804905661</v>
      </c>
      <c r="P6" s="3">
        <v>-3.03415611698113</v>
      </c>
      <c r="Q6" s="3">
        <f t="shared" si="1"/>
        <v>-1.7437605330493</v>
      </c>
    </row>
    <row r="7" spans="1:17">
      <c r="A7" s="2" t="s">
        <v>113</v>
      </c>
      <c r="B7" s="3">
        <v>0.126495656795748</v>
      </c>
      <c r="C7" s="3">
        <v>0.0832308276385725</v>
      </c>
      <c r="D7" s="3">
        <v>-0.864038975290698</v>
      </c>
      <c r="E7" s="3">
        <v>0.173001922238372</v>
      </c>
      <c r="F7" s="3">
        <v>0.124070811499272</v>
      </c>
      <c r="G7" s="3">
        <v>-0.312197077874818</v>
      </c>
      <c r="H7" s="3">
        <f t="shared" si="0"/>
        <v>-0.111572805832259</v>
      </c>
      <c r="K7" s="3">
        <v>0.0878878648233487</v>
      </c>
      <c r="L7" s="3">
        <v>-1.03666826036866</v>
      </c>
      <c r="M7" s="3">
        <v>0.0352329301075268</v>
      </c>
      <c r="N7" s="3">
        <v>-0.887109519969278</v>
      </c>
      <c r="O7" s="3">
        <v>-1.83045330188679</v>
      </c>
      <c r="P7" s="3">
        <v>-2.2604654490566</v>
      </c>
      <c r="Q7" s="3">
        <f t="shared" si="1"/>
        <v>-0.981929289391742</v>
      </c>
    </row>
    <row r="8" spans="1:17">
      <c r="A8" s="2" t="s">
        <v>32</v>
      </c>
      <c r="B8" s="3">
        <v>0.0546469248291573</v>
      </c>
      <c r="C8" s="3">
        <v>0.0200561883067578</v>
      </c>
      <c r="D8" s="3">
        <v>-0.0500582449127907</v>
      </c>
      <c r="E8" s="3">
        <v>-0.112041061046512</v>
      </c>
      <c r="F8" s="3">
        <v>0.0438064046579331</v>
      </c>
      <c r="G8" s="3">
        <v>0.0544337045123726</v>
      </c>
      <c r="H8" s="3">
        <f t="shared" si="0"/>
        <v>0.00180731939115302</v>
      </c>
      <c r="K8" s="3">
        <v>0.0429961597542243</v>
      </c>
      <c r="L8" s="3">
        <v>-0.0695795430107527</v>
      </c>
      <c r="M8" s="3">
        <v>0.0317503840245775</v>
      </c>
      <c r="N8" s="3">
        <v>-0.324730522273426</v>
      </c>
      <c r="O8" s="3">
        <v>0.124455030188679</v>
      </c>
      <c r="P8" s="3">
        <v>-0.00862206415094348</v>
      </c>
      <c r="Q8" s="3">
        <f t="shared" si="1"/>
        <v>-0.0339550925779402</v>
      </c>
    </row>
    <row r="9" spans="1:17">
      <c r="A9" s="2" t="s">
        <v>114</v>
      </c>
      <c r="B9" s="3">
        <v>0.0344994874715261</v>
      </c>
      <c r="C9" s="3">
        <v>-0.0152651025056948</v>
      </c>
      <c r="D9" s="3">
        <v>-0.172316507994186</v>
      </c>
      <c r="E9" s="3">
        <v>-0.0503749745639534</v>
      </c>
      <c r="F9" s="3">
        <v>-0.17414270014556</v>
      </c>
      <c r="G9" s="3">
        <v>0.0594970960698689</v>
      </c>
      <c r="H9" s="3">
        <f t="shared" si="0"/>
        <v>-0.0530171169446665</v>
      </c>
      <c r="K9" s="3">
        <v>0.00108609062980033</v>
      </c>
      <c r="L9" s="3">
        <v>0.0654082181259601</v>
      </c>
      <c r="M9" s="3">
        <v>0.0332335829493087</v>
      </c>
      <c r="N9" s="3">
        <v>-1.11541112135177</v>
      </c>
      <c r="O9" s="3">
        <v>0.0232276188679246</v>
      </c>
      <c r="P9" s="3">
        <v>-0.00781918113207543</v>
      </c>
      <c r="Q9" s="3">
        <f t="shared" si="1"/>
        <v>-0.166712465318475</v>
      </c>
    </row>
    <row r="10" spans="1:17">
      <c r="A10" s="2" t="s">
        <v>115</v>
      </c>
      <c r="B10" s="3">
        <v>-0.00303744874715257</v>
      </c>
      <c r="C10" s="3">
        <v>-0.00811009870918754</v>
      </c>
      <c r="D10" s="3">
        <v>-0.0141439898255814</v>
      </c>
      <c r="E10" s="3">
        <v>-0.64098546875</v>
      </c>
      <c r="F10" s="3">
        <v>-0.104503700873362</v>
      </c>
      <c r="G10" s="3">
        <v>0.0119076237263465</v>
      </c>
      <c r="H10" s="3">
        <f t="shared" si="0"/>
        <v>-0.126478847196489</v>
      </c>
      <c r="K10" s="3">
        <v>0.0419097657450076</v>
      </c>
      <c r="L10" s="3">
        <v>-0.0170054032258063</v>
      </c>
      <c r="M10" s="3">
        <v>0.010271198156682</v>
      </c>
      <c r="N10" s="3">
        <v>-0.0322644393241168</v>
      </c>
      <c r="O10" s="3">
        <v>-0.003401041509434</v>
      </c>
      <c r="P10" s="3">
        <v>0.071364037735849</v>
      </c>
      <c r="Q10" s="3">
        <f t="shared" si="1"/>
        <v>0.0118123529296969</v>
      </c>
    </row>
    <row r="11" spans="1:17">
      <c r="A11" s="2" t="s">
        <v>116</v>
      </c>
      <c r="B11" s="3">
        <v>0.0529252657555051</v>
      </c>
      <c r="C11" s="3">
        <v>0.0323433371298405</v>
      </c>
      <c r="D11" s="3">
        <v>-1.15743878633721</v>
      </c>
      <c r="E11" s="3">
        <v>-0.394927648982558</v>
      </c>
      <c r="F11" s="3">
        <v>0.311514334061135</v>
      </c>
      <c r="G11" s="3">
        <v>0.00106328238719071</v>
      </c>
      <c r="H11" s="3">
        <f t="shared" si="0"/>
        <v>-0.192420035997683</v>
      </c>
      <c r="K11" s="3">
        <v>0.0930028955453149</v>
      </c>
      <c r="L11" s="3">
        <v>0.0722295238095237</v>
      </c>
      <c r="M11" s="3">
        <v>0.0242451881720429</v>
      </c>
      <c r="N11" s="3">
        <v>-0.0662436789554531</v>
      </c>
      <c r="O11" s="3">
        <v>0.0556833320754717</v>
      </c>
      <c r="P11" s="3">
        <v>0.00136685660377365</v>
      </c>
      <c r="Q11" s="3">
        <f t="shared" si="1"/>
        <v>0.0300473528751123</v>
      </c>
    </row>
    <row r="12" spans="1:17">
      <c r="A12" s="2" t="s">
        <v>117</v>
      </c>
      <c r="B12" s="3">
        <v>-2.10658170842825</v>
      </c>
      <c r="C12" s="3">
        <v>-0.173576837509491</v>
      </c>
      <c r="D12" s="3">
        <v>-0.532683295784882</v>
      </c>
      <c r="E12" s="3">
        <v>-3.50376472383721</v>
      </c>
      <c r="F12" s="3">
        <v>-1.25694912663756</v>
      </c>
      <c r="G12" s="3">
        <v>-0.561018620815139</v>
      </c>
      <c r="H12" s="3">
        <f t="shared" si="0"/>
        <v>-1.35576238550209</v>
      </c>
      <c r="K12" s="3">
        <v>-0.806271221198155</v>
      </c>
      <c r="L12" s="3">
        <v>-0.463298463901691</v>
      </c>
      <c r="M12" s="3">
        <v>-0.60815207373272</v>
      </c>
      <c r="N12" s="3">
        <v>-5.85724966973886</v>
      </c>
      <c r="O12" s="3">
        <v>-1.57930517358491</v>
      </c>
      <c r="P12" s="3">
        <v>-1.11660686415094</v>
      </c>
      <c r="Q12" s="3">
        <f t="shared" si="1"/>
        <v>-1.73848057771788</v>
      </c>
    </row>
    <row r="13" spans="1:17">
      <c r="A13" s="2" t="s">
        <v>80</v>
      </c>
      <c r="B13" s="3">
        <v>-0.682730280941533</v>
      </c>
      <c r="C13" s="3">
        <v>-0.581034703872441</v>
      </c>
      <c r="D13" s="3">
        <v>-0.241138492005815</v>
      </c>
      <c r="E13" s="3">
        <v>-7.72928759447674</v>
      </c>
      <c r="F13" s="3">
        <v>-4.02284220887918</v>
      </c>
      <c r="G13" s="3">
        <v>-0.771547740174674</v>
      </c>
      <c r="H13" s="3">
        <f t="shared" si="0"/>
        <v>-2.33809683672506</v>
      </c>
      <c r="K13" s="3">
        <v>-5.17300009600614</v>
      </c>
      <c r="L13" s="3">
        <v>-1.6580758218126</v>
      </c>
      <c r="M13" s="3">
        <v>-1.36515931259601</v>
      </c>
      <c r="N13" s="3">
        <v>-0.472907914746542</v>
      </c>
      <c r="O13" s="3">
        <v>-0.517325467924528</v>
      </c>
      <c r="P13" s="3">
        <v>-0.21690121509434</v>
      </c>
      <c r="Q13" s="3">
        <f t="shared" si="1"/>
        <v>-1.56722830469669</v>
      </c>
    </row>
    <row r="14" spans="1:17">
      <c r="A14" s="2" t="s">
        <v>38</v>
      </c>
      <c r="B14" s="3">
        <v>0.0566988838268793</v>
      </c>
      <c r="C14" s="3">
        <v>0.0207867160212604</v>
      </c>
      <c r="D14" s="3">
        <v>0.06588421875</v>
      </c>
      <c r="E14" s="3">
        <v>-3.22716930232558</v>
      </c>
      <c r="F14" s="3">
        <v>-0.286218911935953</v>
      </c>
      <c r="G14" s="3">
        <v>-0.68603770014556</v>
      </c>
      <c r="H14" s="3">
        <f t="shared" si="0"/>
        <v>-0.676009349301492</v>
      </c>
      <c r="K14" s="3">
        <v>-2.43993380952381</v>
      </c>
      <c r="L14" s="3">
        <v>-0.177890583717358</v>
      </c>
      <c r="M14" s="3">
        <v>0.0293325460829493</v>
      </c>
      <c r="N14" s="3">
        <v>-0.0324093778801844</v>
      </c>
      <c r="O14" s="3">
        <v>0.0428650113207547</v>
      </c>
      <c r="P14" s="3">
        <v>0.116388679245283</v>
      </c>
      <c r="Q14" s="3">
        <f t="shared" si="1"/>
        <v>-0.410274589078728</v>
      </c>
    </row>
    <row r="15" spans="1:17">
      <c r="A15" s="2" t="s">
        <v>118</v>
      </c>
      <c r="B15" s="3">
        <v>0.111225744115414</v>
      </c>
      <c r="C15" s="3">
        <v>0.0521685649202733</v>
      </c>
      <c r="D15" s="3">
        <v>-0.44466460755814</v>
      </c>
      <c r="E15" s="3">
        <v>-6.25567117369186</v>
      </c>
      <c r="F15" s="3">
        <v>-0.257735127365357</v>
      </c>
      <c r="G15" s="3">
        <v>-1.36690227074236</v>
      </c>
      <c r="H15" s="3">
        <f t="shared" si="0"/>
        <v>-1.36026314505367</v>
      </c>
      <c r="K15" s="3">
        <v>-2.68405583717358</v>
      </c>
      <c r="L15" s="3">
        <v>-0.224456152073733</v>
      </c>
      <c r="M15" s="3">
        <v>0.145969731182796</v>
      </c>
      <c r="N15" s="3">
        <v>-1.58255429723502</v>
      </c>
      <c r="O15" s="3">
        <v>-0.27771139245283</v>
      </c>
      <c r="P15" s="3">
        <v>-0.0431608603773585</v>
      </c>
      <c r="Q15" s="3">
        <f t="shared" si="1"/>
        <v>-0.777661468021621</v>
      </c>
    </row>
    <row r="16" spans="1:17">
      <c r="A16" s="2" t="s">
        <v>119</v>
      </c>
      <c r="B16" s="3">
        <v>-1.15306637433561</v>
      </c>
      <c r="C16" s="3">
        <v>-0.230465451784358</v>
      </c>
      <c r="D16" s="3">
        <v>-5.69611243459302</v>
      </c>
      <c r="E16" s="3">
        <v>-2.05372282340116</v>
      </c>
      <c r="F16" s="3">
        <v>-2.54187961790393</v>
      </c>
      <c r="G16" s="3">
        <v>-0.397190400291122</v>
      </c>
      <c r="H16" s="3">
        <f t="shared" si="0"/>
        <v>-2.01207285038487</v>
      </c>
      <c r="K16" s="3">
        <v>-4.9961515514593</v>
      </c>
      <c r="L16" s="3">
        <v>-0.721003014592934</v>
      </c>
      <c r="M16" s="3">
        <v>-0.532410145929341</v>
      </c>
      <c r="N16" s="3">
        <v>-3.36301770353302</v>
      </c>
      <c r="O16" s="3">
        <v>-0.992197230188681</v>
      </c>
      <c r="P16" s="3">
        <v>-3.18853063773585</v>
      </c>
      <c r="Q16" s="3">
        <f t="shared" si="1"/>
        <v>-2.29888504723985</v>
      </c>
    </row>
    <row r="17" spans="1:17">
      <c r="A17" s="2" t="s">
        <v>82</v>
      </c>
      <c r="B17" s="3">
        <v>-2.78448623386485</v>
      </c>
      <c r="C17" s="3">
        <v>-0.317045668185271</v>
      </c>
      <c r="D17" s="3">
        <v>-3.98206240915698</v>
      </c>
      <c r="E17" s="3">
        <v>-0.457032376453489</v>
      </c>
      <c r="F17" s="3">
        <v>-0.396560105531296</v>
      </c>
      <c r="G17" s="3">
        <v>-2.59811798034935</v>
      </c>
      <c r="H17" s="3">
        <f t="shared" si="0"/>
        <v>-1.75588412892354</v>
      </c>
      <c r="K17" s="3">
        <v>-0.952080986943166</v>
      </c>
      <c r="L17" s="3">
        <v>-0.384486682027652</v>
      </c>
      <c r="M17" s="3">
        <v>-3.07150272273425</v>
      </c>
      <c r="N17" s="3">
        <v>-0.310314132104455</v>
      </c>
      <c r="O17" s="3">
        <v>-0.366486166037734</v>
      </c>
      <c r="P17" s="3">
        <v>-5.29542078490566</v>
      </c>
      <c r="Q17" s="3">
        <f t="shared" si="1"/>
        <v>-1.73004857912549</v>
      </c>
    </row>
    <row r="18" spans="1:17">
      <c r="A18" s="2" t="s">
        <v>120</v>
      </c>
      <c r="B18" s="3">
        <v>-0.234765250569476</v>
      </c>
      <c r="C18" s="3">
        <v>0.0182947380410023</v>
      </c>
      <c r="D18" s="3">
        <v>-0.0836802252906977</v>
      </c>
      <c r="E18" s="3">
        <v>-0.311786900436047</v>
      </c>
      <c r="F18" s="3">
        <v>0.00265601528384278</v>
      </c>
      <c r="G18" s="3">
        <v>-0.0294445160116448</v>
      </c>
      <c r="H18" s="3">
        <f t="shared" si="0"/>
        <v>-0.10645435649717</v>
      </c>
      <c r="K18" s="3">
        <v>-0.259483452380952</v>
      </c>
      <c r="L18" s="3">
        <v>0.00419815668202765</v>
      </c>
      <c r="M18" s="3">
        <v>-0.242885053763441</v>
      </c>
      <c r="N18" s="3">
        <v>0.0487319508448541</v>
      </c>
      <c r="O18" s="3">
        <v>-0.0329112075471698</v>
      </c>
      <c r="P18" s="3">
        <v>-0.0679466754716981</v>
      </c>
      <c r="Q18" s="3">
        <f t="shared" si="1"/>
        <v>-0.0917160469393965</v>
      </c>
    </row>
    <row r="19" spans="1:17">
      <c r="A19" s="2" t="s">
        <v>121</v>
      </c>
      <c r="B19" s="3">
        <v>0.0160189597570235</v>
      </c>
      <c r="C19" s="3">
        <v>-0.0130918754745635</v>
      </c>
      <c r="D19" s="3">
        <v>-1.70882115188954</v>
      </c>
      <c r="E19" s="3">
        <v>-1.21960967296512</v>
      </c>
      <c r="F19" s="3">
        <v>-0.199252954876274</v>
      </c>
      <c r="G19" s="3">
        <v>0.0163541229985443</v>
      </c>
      <c r="H19" s="3">
        <f t="shared" si="0"/>
        <v>-0.518067095408322</v>
      </c>
      <c r="K19" s="3">
        <v>-0.0949936405529953</v>
      </c>
      <c r="L19" s="3">
        <v>0.0200606758832565</v>
      </c>
      <c r="M19" s="3">
        <v>-0.638299189708141</v>
      </c>
      <c r="N19" s="3">
        <v>0.035542242703533</v>
      </c>
      <c r="O19" s="3">
        <v>-0.323374094339623</v>
      </c>
      <c r="P19" s="3">
        <v>-1.51634160754717</v>
      </c>
      <c r="Q19" s="3">
        <f t="shared" si="1"/>
        <v>-0.41956760226019</v>
      </c>
    </row>
    <row r="20" spans="1:17">
      <c r="A20" s="2" t="s">
        <v>122</v>
      </c>
      <c r="B20" s="3">
        <v>-2.99627429005315</v>
      </c>
      <c r="C20" s="3">
        <v>0.00230068337129843</v>
      </c>
      <c r="D20" s="3">
        <v>-3.48186468386628</v>
      </c>
      <c r="E20" s="3">
        <v>0.242791359011628</v>
      </c>
      <c r="F20" s="3">
        <v>0.136947863901019</v>
      </c>
      <c r="G20" s="3">
        <v>0.0812593449781659</v>
      </c>
      <c r="H20" s="3">
        <f t="shared" si="0"/>
        <v>-1.00247328710955</v>
      </c>
      <c r="K20" s="3">
        <v>-0.016784946236559</v>
      </c>
      <c r="L20" s="3">
        <v>0.07983232718894</v>
      </c>
      <c r="M20" s="3">
        <v>-6.70856547235023</v>
      </c>
      <c r="N20" s="3">
        <v>0.104924239631336</v>
      </c>
      <c r="O20" s="3">
        <v>-1.60998314339623</v>
      </c>
      <c r="P20" s="3">
        <v>-5.05023408679245</v>
      </c>
      <c r="Q20" s="3">
        <f t="shared" si="1"/>
        <v>-2.20013518032587</v>
      </c>
    </row>
    <row r="21" spans="1:17">
      <c r="A21" s="2" t="s">
        <v>85</v>
      </c>
      <c r="B21" s="3">
        <v>-2.89744911921033</v>
      </c>
      <c r="C21" s="3">
        <v>-3.95264010250569</v>
      </c>
      <c r="D21" s="3">
        <v>-1.14561727834302</v>
      </c>
      <c r="E21" s="3">
        <v>-2.03774102107558</v>
      </c>
      <c r="F21" s="3">
        <v>-0.771161575691412</v>
      </c>
      <c r="G21" s="3">
        <v>-0.503701433770018</v>
      </c>
      <c r="H21" s="3">
        <f t="shared" si="0"/>
        <v>-1.88471842176601</v>
      </c>
      <c r="K21" s="3">
        <v>-0.457966620583718</v>
      </c>
      <c r="L21" s="3">
        <v>-2.08372868663594</v>
      </c>
      <c r="M21" s="3">
        <v>-4.31230061443932</v>
      </c>
      <c r="N21" s="3">
        <v>-2.19267263056836</v>
      </c>
      <c r="O21" s="3">
        <v>-1.54999494716981</v>
      </c>
      <c r="P21" s="3">
        <v>-1.54800826792453</v>
      </c>
      <c r="Q21" s="3">
        <f t="shared" si="1"/>
        <v>-2.02411196122028</v>
      </c>
    </row>
    <row r="22" spans="1:17">
      <c r="A22" s="2" t="s">
        <v>46</v>
      </c>
      <c r="B22" s="3">
        <v>-0.234142786636295</v>
      </c>
      <c r="C22" s="3">
        <v>0.160755440394837</v>
      </c>
      <c r="D22" s="3">
        <v>-0.372291460755814</v>
      </c>
      <c r="E22" s="3">
        <v>0.06546</v>
      </c>
      <c r="F22" s="3">
        <v>0.00731351164483255</v>
      </c>
      <c r="G22" s="3">
        <v>-0.196389155749636</v>
      </c>
      <c r="H22" s="3">
        <f t="shared" si="0"/>
        <v>-0.0948824085170126</v>
      </c>
      <c r="K22" s="3">
        <v>0.146238940092166</v>
      </c>
      <c r="L22" s="3">
        <v>-0.124639243471582</v>
      </c>
      <c r="M22" s="3">
        <v>-2.64967833333333</v>
      </c>
      <c r="N22" s="3">
        <v>0.05607910906298</v>
      </c>
      <c r="O22" s="3">
        <v>0.105791328301887</v>
      </c>
      <c r="P22" s="3">
        <v>0.0585924528301886</v>
      </c>
      <c r="Q22" s="3">
        <f t="shared" si="1"/>
        <v>-0.401269291086282</v>
      </c>
    </row>
    <row r="23" spans="1:17">
      <c r="A23" s="2" t="s">
        <v>123</v>
      </c>
      <c r="B23" s="3">
        <v>0.14812632118451</v>
      </c>
      <c r="C23" s="3">
        <v>0.149656761579347</v>
      </c>
      <c r="D23" s="3">
        <v>-3.8045358684593</v>
      </c>
      <c r="E23" s="3">
        <v>0.256055112645349</v>
      </c>
      <c r="F23" s="3">
        <v>-0.117939093886463</v>
      </c>
      <c r="G23" s="3">
        <v>-1.31622480349345</v>
      </c>
      <c r="H23" s="3">
        <f t="shared" si="0"/>
        <v>-0.780810261738334</v>
      </c>
      <c r="K23" s="3">
        <v>0.127382503840246</v>
      </c>
      <c r="L23" s="3">
        <v>0.182216950844854</v>
      </c>
      <c r="M23" s="3">
        <v>0.390853202764977</v>
      </c>
      <c r="N23" s="3">
        <v>0.160939193548387</v>
      </c>
      <c r="O23" s="3">
        <v>0.00366909811320745</v>
      </c>
      <c r="P23" s="3">
        <v>0.0617441283018864</v>
      </c>
      <c r="Q23" s="3">
        <f t="shared" si="1"/>
        <v>0.15446751290226</v>
      </c>
    </row>
    <row r="24" spans="1:17">
      <c r="A24" s="2" t="s">
        <v>48</v>
      </c>
      <c r="B24" s="3">
        <v>-3.16969178435839</v>
      </c>
      <c r="C24" s="3">
        <v>-5.53836133257403</v>
      </c>
      <c r="D24" s="3">
        <v>-4.1315120821221</v>
      </c>
      <c r="E24" s="3">
        <v>-1.52736577398256</v>
      </c>
      <c r="F24" s="3">
        <v>-4.12496563318777</v>
      </c>
      <c r="G24" s="3">
        <v>-4.80430459970888</v>
      </c>
      <c r="H24" s="3">
        <f t="shared" si="0"/>
        <v>-3.88270020098895</v>
      </c>
      <c r="K24" s="3">
        <v>-2.80680094470046</v>
      </c>
      <c r="L24" s="3">
        <v>-0.817039800307219</v>
      </c>
      <c r="M24" s="3">
        <v>-0.472429408602152</v>
      </c>
      <c r="N24" s="3">
        <v>-3.46087688940092</v>
      </c>
      <c r="O24" s="3">
        <v>-3.67622156226415</v>
      </c>
      <c r="P24" s="3">
        <v>-0.267455649056602</v>
      </c>
      <c r="Q24" s="3">
        <f t="shared" si="1"/>
        <v>-1.91680404238858</v>
      </c>
    </row>
    <row r="25" spans="1:17">
      <c r="A25" s="2" t="s">
        <v>124</v>
      </c>
      <c r="B25" s="3">
        <v>-0.54113345861807</v>
      </c>
      <c r="C25" s="3">
        <v>-0.30439908504176</v>
      </c>
      <c r="D25" s="3">
        <v>-2.22248587209302</v>
      </c>
      <c r="E25" s="3">
        <v>-5.03839114825581</v>
      </c>
      <c r="F25" s="3">
        <v>-0.676634203056767</v>
      </c>
      <c r="G25" s="3">
        <v>-3.79128901746725</v>
      </c>
      <c r="H25" s="3">
        <f t="shared" si="0"/>
        <v>-2.09572213075545</v>
      </c>
      <c r="K25" s="3">
        <v>-0.635551232718894</v>
      </c>
      <c r="L25" s="3">
        <v>-2.24358309523809</v>
      </c>
      <c r="M25" s="3">
        <v>-4.47004925499232</v>
      </c>
      <c r="N25" s="3">
        <v>-0.740622603686635</v>
      </c>
      <c r="O25" s="3">
        <v>-2.03589359245283</v>
      </c>
      <c r="P25" s="3">
        <v>-2.87172389056604</v>
      </c>
      <c r="Q25" s="3">
        <f t="shared" si="1"/>
        <v>-2.1662372782758</v>
      </c>
    </row>
    <row r="26" spans="1:17">
      <c r="A26" s="5" t="s">
        <v>62</v>
      </c>
      <c r="B26" s="3">
        <f t="shared" ref="B26:G26" si="2">SUM(B2:B25)</f>
        <v>-20.0869485155657</v>
      </c>
      <c r="C26" s="3">
        <f t="shared" si="2"/>
        <v>-21.2154118868641</v>
      </c>
      <c r="D26" s="3">
        <f t="shared" si="2"/>
        <v>-37.4421659992733</v>
      </c>
      <c r="E26" s="3">
        <f t="shared" si="2"/>
        <v>-42.7607937281977</v>
      </c>
      <c r="F26" s="3">
        <f t="shared" si="2"/>
        <v>-22.8851505276565</v>
      </c>
      <c r="G26" s="3">
        <f t="shared" si="2"/>
        <v>-27.4394689592431</v>
      </c>
      <c r="H26" s="3">
        <f t="shared" si="0"/>
        <v>-28.6383232694667</v>
      </c>
      <c r="K26" s="3">
        <f t="shared" ref="K26:P26" si="3">SUM(K2:K25)</f>
        <v>-21.7842476996928</v>
      </c>
      <c r="L26" s="3">
        <f t="shared" si="3"/>
        <v>-13.9527280875576</v>
      </c>
      <c r="M26" s="3">
        <f t="shared" si="3"/>
        <v>-28.0468564784946</v>
      </c>
      <c r="N26" s="3">
        <f t="shared" si="3"/>
        <v>-22.5750752918587</v>
      </c>
      <c r="O26" s="3">
        <f t="shared" si="3"/>
        <v>-16.847090554717</v>
      </c>
      <c r="P26" s="3">
        <f t="shared" si="3"/>
        <v>-29.7294067509434</v>
      </c>
      <c r="Q26" s="3">
        <f t="shared" si="1"/>
        <v>-22.155900810544</v>
      </c>
    </row>
    <row r="28" spans="2:7">
      <c r="B28" s="4"/>
      <c r="C28" s="4"/>
      <c r="D28" s="4"/>
      <c r="E28" s="4"/>
      <c r="F28" s="4"/>
      <c r="G28" s="4"/>
    </row>
    <row r="31" spans="1:13">
      <c r="A31" s="6"/>
      <c r="B31" s="6"/>
      <c r="C31" s="6"/>
      <c r="D31" s="6"/>
      <c r="E31" s="11"/>
      <c r="F31" s="6"/>
      <c r="G31" s="6"/>
      <c r="H31" s="6"/>
      <c r="I31" s="11"/>
      <c r="J31" s="6"/>
      <c r="K31" s="6"/>
      <c r="L31" s="6"/>
      <c r="M31" s="11"/>
    </row>
    <row r="34" spans="1:5">
      <c r="A34" s="7"/>
      <c r="B34" s="8"/>
      <c r="C34" s="8"/>
      <c r="D34" s="8"/>
      <c r="E34" s="8"/>
    </row>
    <row r="35" spans="1:13">
      <c r="A35" s="9"/>
      <c r="B35" s="10"/>
      <c r="C35" s="10"/>
      <c r="D35" s="10"/>
      <c r="E35" s="8"/>
      <c r="F35" s="6"/>
      <c r="G35" s="6"/>
      <c r="H35" s="6"/>
      <c r="I35" s="11"/>
      <c r="J35" s="6"/>
      <c r="K35" s="6"/>
      <c r="L35" s="6"/>
      <c r="M35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H3</vt:lpstr>
      <vt:lpstr>H4</vt:lpstr>
      <vt:lpstr>H2A</vt:lpstr>
      <vt:lpstr>H2B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</cp:lastModifiedBy>
  <dcterms:created xsi:type="dcterms:W3CDTF">2026-05-08T11:27:00Z</dcterms:created>
  <dcterms:modified xsi:type="dcterms:W3CDTF">2026-09-15T08:35:08Z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1268AE0A5CDCF8E23462116AA1EBCE82_43</vt:lpwstr>
  </property>
  <property fmtid="{D5CDD505-2E9C-101B-9397-08002B2CF9AE}" pid="3" name="KSOProductBuildVer">
    <vt:lpwstr>2052-12.1.2.22571</vt:lpwstr>
  </property>
</Properties>
</file>